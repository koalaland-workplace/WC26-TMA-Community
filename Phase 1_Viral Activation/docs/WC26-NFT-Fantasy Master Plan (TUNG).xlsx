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edangtuan/Downloads/"/>
    </mc:Choice>
  </mc:AlternateContent>
  <xr:revisionPtr revIDLastSave="0" documentId="13_ncr:1_{0C4B4350-F0B9-A54E-80B3-FAA8D05997C5}" xr6:coauthVersionLast="47" xr6:coauthVersionMax="47" xr10:uidLastSave="{00000000-0000-0000-0000-000000000000}"/>
  <bookViews>
    <workbookView xWindow="0" yWindow="500" windowWidth="25600" windowHeight="13820" activeTab="1" xr2:uid="{2774C847-024A-E04E-9E9F-B7F0A016C9D9}"/>
  </bookViews>
  <sheets>
    <sheet name="TOKENOMICS (Cũ)" sheetId="4" r:id="rId1"/>
    <sheet name="TOKENOMICS (Mới)" sheetId="21" r:id="rId2"/>
    <sheet name="SEED" sheetId="19" r:id="rId3"/>
    <sheet name="PUBLIC-SALE" sheetId="20" r:id="rId4"/>
    <sheet name="STADIUM" sheetId="16" r:id="rId5"/>
    <sheet name="MYSTERY" sheetId="18" r:id="rId6"/>
    <sheet name="PLAYER" sheetId="17" r:id="rId7"/>
    <sheet name="REVENUE@WC26DIST" sheetId="15" state="hidden" r:id="rId8"/>
    <sheet name="LIQUIDITY" sheetId="10" state="hidden" r:id="rId9"/>
    <sheet name="Strategic" sheetId="8" r:id="rId10"/>
    <sheet name="Govern_Eligibility" sheetId="11" r:id="rId11"/>
    <sheet name="LIST-DOCS" sheetId="14" r:id="rId1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" i="20" l="1"/>
  <c r="D7" i="20" s="1"/>
  <c r="C19" i="21"/>
  <c r="D38" i="21"/>
  <c r="D36" i="21"/>
  <c r="D34" i="21"/>
  <c r="D31" i="21"/>
  <c r="D29" i="21"/>
  <c r="D28" i="21"/>
  <c r="D27" i="21"/>
  <c r="D26" i="21"/>
  <c r="D25" i="21"/>
  <c r="C24" i="21"/>
  <c r="D24" i="21" s="1"/>
  <c r="C22" i="21"/>
  <c r="C21" i="21"/>
  <c r="E20" i="21"/>
  <c r="C20" i="21"/>
  <c r="D19" i="21"/>
  <c r="D17" i="21"/>
  <c r="F17" i="21" s="1"/>
  <c r="D16" i="21"/>
  <c r="F16" i="21" s="1"/>
  <c r="D15" i="21"/>
  <c r="F15" i="21" s="1"/>
  <c r="F14" i="21" s="1"/>
  <c r="E14" i="21" s="1"/>
  <c r="D14" i="21"/>
  <c r="F26" i="19"/>
  <c r="F23" i="19"/>
  <c r="F24" i="19" s="1"/>
  <c r="G24" i="19" s="1"/>
  <c r="E19" i="4"/>
  <c r="F19" i="4"/>
  <c r="C22" i="4"/>
  <c r="D22" i="4" s="1"/>
  <c r="F22" i="4" s="1"/>
  <c r="C21" i="4"/>
  <c r="D21" i="4" s="1"/>
  <c r="F21" i="4" s="1"/>
  <c r="D20" i="4"/>
  <c r="F20" i="4" s="1"/>
  <c r="E20" i="4"/>
  <c r="C20" i="4"/>
  <c r="F27" i="19" l="1"/>
  <c r="G27" i="19" s="1"/>
  <c r="C12" i="21"/>
  <c r="D12" i="21" s="1"/>
  <c r="D22" i="21" s="1"/>
  <c r="F22" i="21" s="1"/>
  <c r="C33" i="4"/>
  <c r="D33" i="4" s="1"/>
  <c r="D32" i="4"/>
  <c r="C24" i="4"/>
  <c r="E24" i="15"/>
  <c r="E25" i="15"/>
  <c r="E23" i="15"/>
  <c r="E22" i="15"/>
  <c r="E21" i="15"/>
  <c r="E20" i="15"/>
  <c r="E19" i="15"/>
  <c r="D23" i="16"/>
  <c r="C5" i="20"/>
  <c r="E12" i="20"/>
  <c r="D5" i="19"/>
  <c r="E12" i="19"/>
  <c r="D21" i="21" l="1"/>
  <c r="F21" i="21" s="1"/>
  <c r="D20" i="21"/>
  <c r="F20" i="21" s="1"/>
  <c r="F19" i="21" s="1"/>
  <c r="E19" i="21" s="1"/>
  <c r="E26" i="15"/>
  <c r="E32" i="15" s="1"/>
  <c r="C21" i="18"/>
  <c r="E18" i="18"/>
  <c r="E19" i="18" s="1"/>
  <c r="D18" i="18"/>
  <c r="D19" i="18" s="1"/>
  <c r="C18" i="18"/>
  <c r="C19" i="18" s="1"/>
  <c r="F19" i="18" s="1"/>
  <c r="D23" i="18" s="1"/>
  <c r="E27" i="18" s="1"/>
  <c r="E4" i="17"/>
  <c r="G4" i="17" s="1"/>
  <c r="F4" i="17"/>
  <c r="E5" i="17"/>
  <c r="G5" i="17" s="1"/>
  <c r="F5" i="17"/>
  <c r="E6" i="17"/>
  <c r="G6" i="17" s="1"/>
  <c r="F6" i="17"/>
  <c r="E7" i="17"/>
  <c r="G7" i="17" s="1"/>
  <c r="F7" i="17"/>
  <c r="E8" i="17"/>
  <c r="G8" i="17" s="1"/>
  <c r="F8" i="17"/>
  <c r="D9" i="17"/>
  <c r="F7" i="16"/>
  <c r="G7" i="16" s="1"/>
  <c r="F12" i="16"/>
  <c r="G12" i="16" s="1"/>
  <c r="F19" i="16"/>
  <c r="G19" i="16" s="1"/>
  <c r="F17" i="16"/>
  <c r="G17" i="16" s="1"/>
  <c r="G18" i="16"/>
  <c r="G13" i="16"/>
  <c r="G8" i="16"/>
  <c r="G5" i="16"/>
  <c r="F9" i="17" l="1"/>
  <c r="F6" i="16"/>
  <c r="G6" i="16" s="1"/>
  <c r="E23" i="18"/>
  <c r="E24" i="18"/>
  <c r="E25" i="18"/>
  <c r="E26" i="18"/>
  <c r="G9" i="17"/>
  <c r="E9" i="17"/>
  <c r="F11" i="16"/>
  <c r="F16" i="16"/>
  <c r="G20" i="16"/>
  <c r="G11" i="16" l="1"/>
  <c r="F10" i="16"/>
  <c r="E21" i="18"/>
  <c r="G16" i="16"/>
  <c r="F15" i="16"/>
  <c r="G10" i="16" l="1"/>
  <c r="F9" i="16"/>
  <c r="G9" i="16" s="1"/>
  <c r="F14" i="16"/>
  <c r="G15" i="16"/>
  <c r="G14" i="16" l="1"/>
  <c r="G21" i="16" s="1"/>
  <c r="F21" i="16"/>
  <c r="F29" i="16" l="1"/>
  <c r="F26" i="16"/>
  <c r="F27" i="16"/>
  <c r="F25" i="16"/>
  <c r="F28" i="16"/>
  <c r="C12" i="4" l="1"/>
  <c r="D39" i="4"/>
  <c r="D37" i="4"/>
  <c r="D35" i="4"/>
  <c r="D31" i="4"/>
  <c r="D24" i="4"/>
  <c r="D28" i="4"/>
  <c r="D29" i="4"/>
  <c r="D27" i="4"/>
  <c r="D26" i="4"/>
  <c r="D25" i="4"/>
  <c r="D37" i="15" s="1"/>
  <c r="D19" i="4"/>
  <c r="D14" i="4"/>
  <c r="D17" i="4"/>
  <c r="F17" i="4" s="1"/>
  <c r="D16" i="4"/>
  <c r="F16" i="4" s="1"/>
  <c r="D15" i="4"/>
  <c r="F15" i="4" s="1"/>
  <c r="H5" i="15"/>
  <c r="G5" i="15"/>
  <c r="F5" i="15"/>
  <c r="E5" i="15"/>
  <c r="D5" i="15"/>
  <c r="C5" i="15"/>
  <c r="F14" i="4" l="1"/>
  <c r="E14" i="4" s="1"/>
  <c r="D8" i="20" l="1"/>
  <c r="F8" i="20" s="1"/>
  <c r="D6" i="20"/>
  <c r="F7" i="20"/>
  <c r="D12" i="4"/>
  <c r="F6" i="19" l="1"/>
  <c r="F7" i="19"/>
  <c r="F8" i="19"/>
  <c r="F5" i="19" l="1"/>
  <c r="E5" i="19" l="1"/>
  <c r="F12" i="19"/>
  <c r="F6" i="20"/>
  <c r="F5" i="20" s="1"/>
  <c r="F12" i="20" s="1"/>
  <c r="F20" i="19" s="1"/>
  <c r="F21" i="19" s="1"/>
  <c r="G21" i="19" s="1"/>
  <c r="F15" i="19" l="1"/>
  <c r="F14" i="19"/>
  <c r="F13" i="19"/>
  <c r="G29" i="19"/>
  <c r="F13" i="20"/>
  <c r="F15" i="20"/>
  <c r="F14" i="20"/>
  <c r="E5" i="20"/>
</calcChain>
</file>

<file path=xl/sharedStrings.xml><?xml version="1.0" encoding="utf-8"?>
<sst xmlns="http://schemas.openxmlformats.org/spreadsheetml/2006/main" count="630" uniqueCount="498">
  <si>
    <t>Category</t>
  </si>
  <si>
    <t>%</t>
  </si>
  <si>
    <t>TOTAL</t>
  </si>
  <si>
    <t>BREAKDOWN:</t>
  </si>
  <si>
    <t>UNLOCK SCHEDULE:</t>
  </si>
  <si>
    <t>CONTROL EVOLUTION:</t>
  </si>
  <si>
    <t>Phase 3 (Month 12+): Full DAO Governance</t>
  </si>
  <si>
    <t>REVENUE REFILL MECHANISM:</t>
  </si>
  <si>
    <t>ALLOWED USES:</t>
  </si>
  <si>
    <t>✅ Emergency liquidity support</t>
  </si>
  <si>
    <t>✅ Security audits &amp; bug bounties</t>
  </si>
  <si>
    <t>✅ Geographic expansion</t>
  </si>
  <si>
    <t>PROHIBITED:</t>
  </si>
  <si>
    <t>❌ Non-transparent spending</t>
  </si>
  <si>
    <t>PROJECTED GROWTH:</t>
  </si>
  <si>
    <t>═══════════════════════════════════════════════════════════════</t>
  </si>
  <si>
    <t>INITIAL: 11,000,000 tokens</t>
  </si>
  <si>
    <t>Optimized Based on Strategic Review &amp; Market Reality</t>
  </si>
  <si>
    <t>Last Updated: February 10, 2026</t>
  </si>
  <si>
    <t>Total Game Rewards: 30% (60M tokens)</t>
  </si>
  <si>
    <t>GAME REWARDS ALLOCATION ACROSS TOURNAMENTS (7-YEAR MODEL)</t>
  </si>
  <si>
    <t>PHILOSOPHY:</t>
  </si>
  <si>
    <t>✅ WC2026 = 25% of Game Rewards (not 50% or 100%)</t>
  </si>
  <si>
    <t>✅ Sustainable: 75% reserved for 5+ future tournaments</t>
  </si>
  <si>
    <t>✅ Protects investor dilution (tokens spread over years)</t>
  </si>
  <si>
    <t>✅ Long-term ecosystem (not one-and-done)</t>
  </si>
  <si>
    <t>1. WORLD CUP 2026 (Jun-Jul 2026):</t>
  </si>
  <si>
    <t xml:space="preserve">   ├─ % of Game Rewards: 25%</t>
  </si>
  <si>
    <t xml:space="preserve">   ├─ Tokens: 15,000,000 (7.5% of total supply)</t>
  </si>
  <si>
    <t xml:space="preserve">   ├─ Matches: 104 total</t>
  </si>
  <si>
    <t xml:space="preserve">   ├─ Duration: 39 days</t>
  </si>
  <si>
    <t xml:space="preserve">   └─ Status: PRIMARY FOCUS</t>
  </si>
  <si>
    <t>2. COPA AMERICA 2027 (Jun-Jul 2027):</t>
  </si>
  <si>
    <t xml:space="preserve">   ├─ % of Game Rewards: 18%</t>
  </si>
  <si>
    <t xml:space="preserve">   ├─ Tokens: 10,800,000 (5.4% of total supply)</t>
  </si>
  <si>
    <t xml:space="preserve">   ├─ Matches: 32 total</t>
  </si>
  <si>
    <t xml:space="preserve">   ├─ Duration: 31 days</t>
  </si>
  <si>
    <t xml:space="preserve">   └─ Status: PLANNED</t>
  </si>
  <si>
    <t>3. AFRICA CUP 2027 (Jan-Feb 2027):</t>
  </si>
  <si>
    <t xml:space="preserve">   ├─ % of Game Rewards: 12%</t>
  </si>
  <si>
    <t xml:space="preserve">   ├─ Tokens: 7,200,000 (3.6% of total supply)</t>
  </si>
  <si>
    <t xml:space="preserve">   ├─ Matches: 52 total</t>
  </si>
  <si>
    <t xml:space="preserve">   ├─ Duration: 30 days</t>
  </si>
  <si>
    <t xml:space="preserve">   ├─ % of Game Rewards: 20%</t>
  </si>
  <si>
    <t xml:space="preserve">   ├─ Tokens: 12,000,000 (6.0% of total supply)</t>
  </si>
  <si>
    <t xml:space="preserve">   ├─ Matches: 51 total</t>
  </si>
  <si>
    <t xml:space="preserve">   ├─ % of Game Rewards: 10%</t>
  </si>
  <si>
    <t xml:space="preserve">   ├─ Tokens: 6,000,000 (3.0% of total supply)</t>
  </si>
  <si>
    <t xml:space="preserve">   ├─ Duration: 29 days</t>
  </si>
  <si>
    <t>6. FUTURE TOURNAMENTS (2029-2032):</t>
  </si>
  <si>
    <t xml:space="preserve">   ├─ Includes: WC2030, Copa 2031, EURO 2032, etc.</t>
  </si>
  <si>
    <t xml:space="preserve">   └─ Status: RESERVED</t>
  </si>
  <si>
    <t>7. EMERGENCY RESERVE:</t>
  </si>
  <si>
    <t xml:space="preserve">   ├─ % of Game Rewards: 5%</t>
  </si>
  <si>
    <t xml:space="preserve">   ├─ Tokens: 3,000,000 (1.5% of total supply)</t>
  </si>
  <si>
    <t xml:space="preserve">   ├─ Use: Unexpected tournaments, bonus rewards</t>
  </si>
  <si>
    <t xml:space="preserve">   └─ Governance: DAO vote required</t>
  </si>
  <si>
    <t>TOTAL: 100% of Game Rewards (60M tokens) ✅</t>
  </si>
  <si>
    <t>TIMELINE: 7 years (2026-2032)</t>
  </si>
  <si>
    <t>WC2026 Detailed Breakdown (15M tokens)</t>
  </si>
  <si>
    <t>WORLD CUP 2026: 15,000,000 tokens (7.5% total supply)</t>
  </si>
  <si>
    <t>ALLOCATION BY STAGE:</t>
  </si>
  <si>
    <t>GROUP STAGE (48 matches):</t>
  </si>
  <si>
    <t>├─ Tokens per match: 200,000</t>
  </si>
  <si>
    <t>├─ Total: 9,600,000 tokens</t>
  </si>
  <si>
    <t>├─ % of WC2026: 64%</t>
  </si>
  <si>
    <t>├─ Duration: June 11-27 (17 days)</t>
  </si>
  <si>
    <t>└─ Peak user activity expected</t>
  </si>
  <si>
    <t>ROUND OF 16 (8 matches):</t>
  </si>
  <si>
    <t>├─ Tokens per match: 300,000</t>
  </si>
  <si>
    <t>├─ Total: 2,400,000 tokens</t>
  </si>
  <si>
    <t>├─ % of WC2026: 16%</t>
  </si>
  <si>
    <t>├─ Duration: June 29 - July 3</t>
  </si>
  <si>
    <t>└─ Excitement building</t>
  </si>
  <si>
    <t>QUARTER-FINALS (4 matches):</t>
  </si>
  <si>
    <t>├─ Tokens per match: 400,000</t>
  </si>
  <si>
    <t>├─ Total: 1,600,000 tokens</t>
  </si>
  <si>
    <t>├─ % of WC2026: 10.7%</t>
  </si>
  <si>
    <t>├─ Duration: July 5-6</t>
  </si>
  <si>
    <t>└─ High stakes</t>
  </si>
  <si>
    <t>SEMI-FINALS (2 matches):</t>
  </si>
  <si>
    <t>├─ Tokens per match: 500,000</t>
  </si>
  <si>
    <t>├─ Total: 1,000,000 tokens</t>
  </si>
  <si>
    <t>├─ % of WC2026: 6.7%</t>
  </si>
  <si>
    <t>├─ Duration: July 8-9</t>
  </si>
  <si>
    <t>└─ Peak drama</t>
  </si>
  <si>
    <t>3RD PLACE + FINAL (2 matches):</t>
  </si>
  <si>
    <t>├─ 3rd Place: 400,000 tokens</t>
  </si>
  <si>
    <t>├─ Final: 600,000 tokens</t>
  </si>
  <si>
    <t>├─ Duration: July 12-13</t>
  </si>
  <si>
    <t>└─ Climax of tournament</t>
  </si>
  <si>
    <t>SPECIAL AWARDS:</t>
  </si>
  <si>
    <t>├─ Tournament MVP: 100,000 tokens</t>
  </si>
  <si>
    <t>├─ Golden Boot (Top Scorer): 80,000 tokens</t>
  </si>
  <si>
    <t>├─ Golden Glove (Best GK): 60,000 tokens</t>
  </si>
  <si>
    <t>├─ Best Young Player: 40,000 tokens</t>
  </si>
  <si>
    <t>├─ Fair Play Award: 20,000 tokens</t>
  </si>
  <si>
    <t>├─ Total: 300,000 tokens</t>
  </si>
  <si>
    <t>TOTAL WC2026: 15,000,000 tokens ✅</t>
  </si>
  <si>
    <t>AVERAGE PER MATCH: 144,231 tokens (15M ÷ 104 matches)</t>
  </si>
  <si>
    <t>PER-USER MATH (Conservative):</t>
  </si>
  <si>
    <t>├─ Assume 5,000 active users per Group Stage match</t>
  </si>
  <si>
    <t>├─ 200,000 tokens ÷ 5,000 = 40 tokens per user</t>
  </si>
  <si>
    <t>├─ @ $0.0065 = $0.26 worth per user per match</t>
  </si>
  <si>
    <t>├─ @ $0.10 (post-launch) = $4 per user per match ✅</t>
  </si>
  <si>
    <t>└─ Attractive enough to play, not overpaying</t>
  </si>
  <si>
    <t>INFLATION IMPACT:</t>
  </si>
  <si>
    <t>├─ Total supply: 200M tokens</t>
  </si>
  <si>
    <t>├─ WC2026 issued: 15M tokens</t>
  </si>
  <si>
    <t>├─ % of supply: 7.5% over 1 month</t>
  </si>
  <si>
    <t>├─ Monthly inflation: 7.5% (manageable)</t>
  </si>
  <si>
    <t>├─ BUT: 10-15% burn from game fees</t>
  </si>
  <si>
    <t>│   ├─ Assume $2M revenue in $WC26 tokens</t>
  </si>
  <si>
    <t>│   ├─ 12.5% burn rate = $250k burned</t>
  </si>
  <si>
    <t>│   ├─ @ $0.10 = 2.5M tokens burned</t>
  </si>
  <si>
    <t>│   └─ Net inflation: 15M - 2.5M = 12.5M (6.25%)</t>
  </si>
  <si>
    <t>└─ SUSTAINABLE ✅</t>
  </si>
  <si>
    <t>Token Circulation Cycle:</t>
  </si>
  <si>
    <t>MULTI-YEAR TOKEN FLOW:</t>
  </si>
  <si>
    <t>YEAR 1 (2026):</t>
  </si>
  <si>
    <t>├─ WC2026: 15M tokens issued (Jun-Jul)</t>
  </si>
  <si>
    <t>├─ Used in games, partially burned</t>
  </si>
  <si>
    <t>├─ Remaining circulate until next tournament</t>
  </si>
  <si>
    <t>└─ Net circulating: ~12M new (after burns)</t>
  </si>
  <si>
    <t>YEAR 2 (2027):</t>
  </si>
  <si>
    <t>├─ AFCON 2027: 7.2M tokens issued (Jan-Feb)</t>
  </si>
  <si>
    <t>├─ Copa America 2027: 10.8M tokens issued (Jun-Jul)</t>
  </si>
  <si>
    <t>├─ Combined with WC2026 remainder still circulating</t>
  </si>
  <si>
    <t>├─ Total new: 18M, burned: ~4M</t>
  </si>
  <si>
    <t>└─ Net add: ~14M (cumulative: ~26M from Game Rewards)</t>
  </si>
  <si>
    <t>YEAR 3 (2028):</t>
  </si>
  <si>
    <t>├─ Asian Cup: 6M tokens (Jan-Feb)</t>
  </si>
  <si>
    <t>├─ EURO 2028: 12M tokens (Jun-Jul)</t>
  </si>
  <si>
    <t>├─ Cumulative from previous years</t>
  </si>
  <si>
    <t>└─ Ecosystem established, user base mature</t>
  </si>
  <si>
    <t>YEAR 4-7 (2029-2032):</t>
  </si>
  <si>
    <t>├─ Future tournaments: 6M tokens reserved</t>
  </si>
  <si>
    <t>├─ Treasury refills continuously</t>
  </si>
  <si>
    <t>├─ Ecosystem self-sustaining</t>
  </si>
  <si>
    <t>└─ Potential: WC2030 (biggest ever)</t>
  </si>
  <si>
    <t>BENEFITS OF THIS MODEL:</t>
  </si>
  <si>
    <t>✅ Dilution spread over 7 years (not 1 year)</t>
  </si>
  <si>
    <t>✅ Each tournament has fresh reward pool</t>
  </si>
  <si>
    <t>✅ Early tokens appreciate (scarcity at start)</t>
  </si>
  <si>
    <t>✅ Network effects compound (users carry over)</t>
  </si>
  <si>
    <t>✅ Sustainable long-term (not pump-and-dump)</t>
  </si>
  <si>
    <t>Liquidity Pool: 15% (30M tokens)</t>
  </si>
  <si>
    <t>1. DEX INITIAL SEEDING (50% = 15M tokens):</t>
  </si>
  <si>
    <t xml:space="preserve">   ├─ Pair: $WC26/USDT on QuickSwap (Polygon)</t>
  </si>
  <si>
    <t xml:space="preserve">   ├─ Tokens: 15,000,000</t>
  </si>
  <si>
    <t xml:space="preserve">   ├─ USDT Paired: $84,825 (from Community Sale)</t>
  </si>
  <si>
    <t xml:space="preserve">   ├─ Initial Price: $0.0065 (matches Community Sale)</t>
  </si>
  <si>
    <t xml:space="preserve">   ├─ Lock: 6 months minimum</t>
  </si>
  <si>
    <t xml:space="preserve">   ├─ After 6mo: DAO votes on extension or partial unlock</t>
  </si>
  <si>
    <t xml:space="preserve">   └─ Goal: Deep, permanent liquidity</t>
  </si>
  <si>
    <t>2. MARKET MAKER LOAN (30% = 9M tokens):</t>
  </si>
  <si>
    <t xml:space="preserve">   ├─ Partner: Wintermute, GSR, or Auros (TBD)</t>
  </si>
  <si>
    <t xml:space="preserve">   ├─ Structure: 6-month LOAN (not grant)</t>
  </si>
  <si>
    <t xml:space="preserve">   ├─ Returns: Tokens + performance fee</t>
  </si>
  <si>
    <t xml:space="preserve">   ├─ Collateral: 50% of token value in USDT</t>
  </si>
  <si>
    <t xml:space="preserve">   ├─ Purpose: Tight spreads, deep orderbook</t>
  </si>
  <si>
    <t xml:space="preserve">   └─ Reduces sell pressure (borrowed, not sold)</t>
  </si>
  <si>
    <t>3. CEX LISTING RESERVE (15% = 4.5M tokens):</t>
  </si>
  <si>
    <t xml:space="preserve">   ├─ Purpose: Binance, OKX, Bybit requirements</t>
  </si>
  <si>
    <t xml:space="preserve">   ├─ Typical: 1-2M tokens per tier-1 exchange</t>
  </si>
  <si>
    <t xml:space="preserve">   ├─ Unlock: Only when listing confirmed</t>
  </si>
  <si>
    <t xml:space="preserve">   ├─ Gradual: Partial release for trading pairs</t>
  </si>
  <si>
    <t xml:space="preserve">   └─ Goal: 2 tier-1 CEX by Month 12</t>
  </si>
  <si>
    <t>4. EMERGENCY RESERVE (5% = 1.5M tokens):</t>
  </si>
  <si>
    <t xml:space="preserve">   ├─ Use: Crisis response (flash crash, exploit, etc.)</t>
  </si>
  <si>
    <t xml:space="preserve">   ├─ Trigger: 5-of-9 multisig required</t>
  </si>
  <si>
    <t xml:space="preserve">   ├─ Paired with: USDT from Treasury</t>
  </si>
  <si>
    <t xml:space="preserve">   └─ Rarely used, peace of mind</t>
  </si>
  <si>
    <t>├─ Month 0-6: All locked (93% of Liquidity)</t>
  </si>
  <si>
    <t>├─ Month 6: DAO votes on DEX LP (extend or unlock 20%)</t>
  </si>
  <si>
    <t>├─ Month 12: Reassess MM loan, CEX listings</t>
  </si>
  <si>
    <t>└─ Goal: Majority (70%+) locked permanently</t>
  </si>
  <si>
    <t>Treasury: 5.5% (11M tokens)</t>
  </si>
  <si>
    <t>Value @ Community Price: $71,500 ($0.0065 × 11M)</t>
  </si>
  <si>
    <t>├─ Source: 5% of all game revenue (automatic)</t>
  </si>
  <si>
    <t>├─ WC2026 Example:</t>
  </si>
  <si>
    <t>│   ├─ Revenue: $2,500,000 (conservative)</t>
  </si>
  <si>
    <t>│   ├─ 5% to Treasury: $125,000</t>
  </si>
  <si>
    <t>│   ├─ @ $0.10 avg price: 1,250,000 tokens added</t>
  </si>
  <si>
    <t>│   └─ Treasury post-WC: 11M + 1.25M = 12.25M</t>
  </si>
  <si>
    <t>├─ Multi-year:</t>
  </si>
  <si>
    <t>│   ├─ 5 tournaments over 3 years</t>
  </si>
  <si>
    <t>│   ├─ ~$10M cumulative revenue</t>
  </si>
  <si>
    <t>│   ├─ $500k to Treasury</t>
  </si>
  <si>
    <t>│   ├─ ~5M tokens added</t>
  </si>
  <si>
    <t>│   └─ Treasury by 2029: 16M tokens (8% of supply)</t>
  </si>
  <si>
    <t>└─ SELF-SUSTAINING MODEL ✅</t>
  </si>
  <si>
    <t>Phase 1 (Months 0-5): 3-of-5 Core Team Multisig</t>
  </si>
  <si>
    <t>├─ Signers: Founder, CTO, CFO, Legal, Ops</t>
  </si>
  <si>
    <t>├─ &lt;$30k: 3-of-5 approval</t>
  </si>
  <si>
    <t>├─ &gt;$30k: Public proposal + 5 days notice</t>
  </si>
  <si>
    <t>└─ Emergency &lt;$10k: 2-of-5, report within 24h</t>
  </si>
  <si>
    <t>Phase 2 (Months 6-12): 5-of-9 Hybrid Multisig</t>
  </si>
  <si>
    <t>├─ 3 core team + 6 community elected</t>
  </si>
  <si>
    <t>├─ &lt;$20k: 5-of-9 approval</t>
  </si>
  <si>
    <t>├─ &gt;$20k: DAO proposal required</t>
  </si>
  <si>
    <t>└─ Transition to community control</t>
  </si>
  <si>
    <t>├─ Any spend requires DAO proposal</t>
  </si>
  <si>
    <t>├─ Voting: 1 token = 1 vote (or quadratic)</t>
  </si>
  <si>
    <t>├─ Quorum: 5% of staked supply</t>
  </si>
  <si>
    <t>├─ Pass: 66% supermajority</t>
  </si>
  <si>
    <t>└─ Emergency: 3-of-5 core multisig retained</t>
  </si>
  <si>
    <t>✅ CEX listing fees ($200-500k each)</t>
  </si>
  <si>
    <t>✅ Strategic partnerships &amp; co-marketing</t>
  </si>
  <si>
    <t>✅ Legal &amp; compliance costs</t>
  </si>
  <si>
    <t>✅ Developer grants &amp; hackathons</t>
  </si>
  <si>
    <t>✅ Future tournament prep (venue deals, etc.)</t>
  </si>
  <si>
    <t>❌ Team salaries (use Team allocation)</t>
  </si>
  <si>
    <t>❌ Speculative trading or DeFi farming</t>
  </si>
  <si>
    <t>❌ Personal loans to team</t>
  </si>
  <si>
    <t>❌ Political donations</t>
  </si>
  <si>
    <t>├─ Year 0: 11M tokens ($71.5k @ $0.0065)</t>
  </si>
  <si>
    <t>├─ Year 1 (post-WC): 12.25M ($1.225M @ $0.10)</t>
  </si>
  <si>
    <t>├─ Year 3 (post 3 tournaments): 16M ($1.6M @ $0.10)</t>
  </si>
  <si>
    <t>└─ Healthy, growing, self-sustaining ✅</t>
  </si>
  <si>
    <t>Token (WorldCup NFT)</t>
  </si>
  <si>
    <t>$WC26</t>
  </si>
  <si>
    <t>Polygon</t>
  </si>
  <si>
    <t>Total</t>
  </si>
  <si>
    <t>CATEGORY</t>
  </si>
  <si>
    <t>TOKENS</t>
  </si>
  <si>
    <t>PRICE</t>
  </si>
  <si>
    <t>VALUE</t>
  </si>
  <si>
    <t>NOTE</t>
  </si>
  <si>
    <t>WC26 NFT FANTASY</t>
  </si>
  <si>
    <t>GAME REWARDS (MULTI-TOURNAMENT MODEL)</t>
  </si>
  <si>
    <t>LIQUIDITY &amp; TREASURY</t>
  </si>
  <si>
    <t xml:space="preserve">WC26 NFT FANTASY - FINAL TOKENOMICS </t>
  </si>
  <si>
    <t>Network</t>
  </si>
  <si>
    <t>Total Supply (FIXED)</t>
  </si>
  <si>
    <t>Appendix</t>
  </si>
  <si>
    <t>Title</t>
  </si>
  <si>
    <t>Visibility</t>
  </si>
  <si>
    <t>A</t>
  </si>
  <si>
    <t>(Existing)</t>
  </si>
  <si>
    <t>—</t>
  </si>
  <si>
    <t>B</t>
  </si>
  <si>
    <t>C</t>
  </si>
  <si>
    <t>D</t>
  </si>
  <si>
    <t>Unified Reward Allocation &amp; WC2026 Emission</t>
  </si>
  <si>
    <t>PUBLIC</t>
  </si>
  <si>
    <t>E</t>
  </si>
  <si>
    <t>In-Game NFT Marketplace Fee Model</t>
  </si>
  <si>
    <t>F</t>
  </si>
  <si>
    <t>Oracle &amp; Data Integrity Framework</t>
  </si>
  <si>
    <t>G</t>
  </si>
  <si>
    <t>Liquidity Buffer &amp; AI Risk Control (PIQUE)</t>
  </si>
  <si>
    <t>H</t>
  </si>
  <si>
    <t>Time-Validated Scoring &amp; Settlement Engine</t>
  </si>
  <si>
    <t>SEMI</t>
  </si>
  <si>
    <t>I</t>
  </si>
  <si>
    <t>Technical Settlement &amp; SP Engine</t>
  </si>
  <si>
    <t>RESTRICTED</t>
  </si>
  <si>
    <t>Oracle Challenge</t>
  </si>
  <si>
    <t>Squad Fantasy</t>
  </si>
  <si>
    <t xml:space="preserve">Global Jury
MIP/WPP </t>
  </si>
  <si>
    <t>Primary
NFT Drops</t>
  </si>
  <si>
    <t>Community Creator Hub 
(MEME Moments)</t>
  </si>
  <si>
    <t>Prize Pool (Oracle) | Squads 1-5 | MIP 
Protocol Authors | Community Creators</t>
  </si>
  <si>
    <t>Protocol Burn</t>
  </si>
  <si>
    <t>Referral (F1=3%, F2=2%)</t>
  </si>
  <si>
    <t>Stadium NFT Owner</t>
  </si>
  <si>
    <t>Liquidity Buffer</t>
  </si>
  <si>
    <t>1. Presale (SEED)</t>
  </si>
  <si>
    <t>Funding for Initial Stage of Project</t>
  </si>
  <si>
    <t>2. Community Sale</t>
  </si>
  <si>
    <t>3. Game Rewards</t>
  </si>
  <si>
    <t>4. Community &amp; Campaigns</t>
  </si>
  <si>
    <t>5. Team &amp; Advisors</t>
  </si>
  <si>
    <t>3.1. WorldCup 2026</t>
  </si>
  <si>
    <t>3.2. Copa 2027</t>
  </si>
  <si>
    <t>3.3. AFCON 2027</t>
  </si>
  <si>
    <t>TOTAL (1+2+3+4+5+6+7)</t>
  </si>
  <si>
    <t>No.</t>
  </si>
  <si>
    <t>Stadium/City</t>
  </si>
  <si>
    <t>World Cup 2026
Matches</t>
  </si>
  <si>
    <t>Matches 
(est.)</t>
  </si>
  <si>
    <t xml:space="preserve">Initial Price </t>
  </si>
  <si>
    <t>Expected 
Final Price</t>
  </si>
  <si>
    <t>Note</t>
  </si>
  <si>
    <t>MetLife Stadium – NY/NJ</t>
  </si>
  <si>
    <t>Final</t>
  </si>
  <si>
    <t>Estadio Azteca – Mexico City</t>
  </si>
  <si>
    <t>Business Match</t>
  </si>
  <si>
    <t>SoFi Stadium – Los Angeles</t>
  </si>
  <si>
    <t>Group + Knockout</t>
  </si>
  <si>
    <t>AT&amp;T Stadium – Dallas</t>
  </si>
  <si>
    <t>NRG Stadium – Houston</t>
  </si>
  <si>
    <t>Group</t>
  </si>
  <si>
    <t>Arrowhead Stadium – Kansas City</t>
  </si>
  <si>
    <t>Mercedes-Benz Stadium – Atlanta</t>
  </si>
  <si>
    <t>Lincoln Financial Field – Philadelphia</t>
  </si>
  <si>
    <t>Hard Rock Stadium – Miami</t>
  </si>
  <si>
    <t>Levi's Stadium – SF Bay Area</t>
  </si>
  <si>
    <t>Lumen Field – Seattle</t>
  </si>
  <si>
    <t>Gillette Stadium – Boston</t>
  </si>
  <si>
    <t>BC Place – Vancouver</t>
  </si>
  <si>
    <t>BMO Field – Toronto</t>
  </si>
  <si>
    <t>Estadio BBVA – Monterrey</t>
  </si>
  <si>
    <t>Estadio Akron – Guadalajara</t>
  </si>
  <si>
    <t>Direct Referral (F1=3%, F2=2%)</t>
  </si>
  <si>
    <t>Marketing, and Auction Cost</t>
  </si>
  <si>
    <t>Binded Artwork Creator(s)</t>
  </si>
  <si>
    <t xml:space="preserve">Liquidity Pool + Buffer </t>
  </si>
  <si>
    <t>COMMON</t>
  </si>
  <si>
    <t>RARE</t>
  </si>
  <si>
    <t>EPIC</t>
  </si>
  <si>
    <t>LEGENDARY</t>
  </si>
  <si>
    <t>MYTHIC</t>
  </si>
  <si>
    <t>Total NFT
/48 Teams</t>
  </si>
  <si>
    <t>Players
/48 Teams</t>
  </si>
  <si>
    <t>Total NFT/Team</t>
  </si>
  <si>
    <t>Players
/Team</t>
  </si>
  <si>
    <t>NFT
/Player</t>
  </si>
  <si>
    <t>NFT-Tier</t>
  </si>
  <si>
    <r>
      <t>Bonding Curve:</t>
    </r>
    <r>
      <rPr>
        <sz val="11"/>
        <color theme="1"/>
        <rFont val="Aptos Narrow"/>
        <scheme val="minor"/>
      </rPr>
      <t xml:space="preserve"> 
10% increased after 1,000 sold packs.</t>
    </r>
  </si>
  <si>
    <r>
      <t>Bonding Curve:</t>
    </r>
    <r>
      <rPr>
        <sz val="11"/>
        <color theme="1"/>
        <rFont val="Aptos Narrow"/>
        <scheme val="minor"/>
      </rPr>
      <t xml:space="preserve"> 
10% increased after 5,000 sold packs.</t>
    </r>
  </si>
  <si>
    <t>Dynamic Pricing Logic</t>
  </si>
  <si>
    <t>Initial Price, $WC26</t>
  </si>
  <si>
    <t>Quantity of Packs:</t>
  </si>
  <si>
    <t>At least 1 Epic</t>
  </si>
  <si>
    <t>At least 1 Rare/Epic</t>
  </si>
  <si>
    <t>Guarantee Rule</t>
  </si>
  <si>
    <t>Mythic</t>
  </si>
  <si>
    <t>Legendary</t>
  </si>
  <si>
    <t>Epic</t>
  </si>
  <si>
    <t>Rare</t>
  </si>
  <si>
    <t>Common</t>
  </si>
  <si>
    <t>NFT Type Probability Breakdown</t>
  </si>
  <si>
    <t>Quantity of PlayerNFTs</t>
  </si>
  <si>
    <t>Legacy</t>
  </si>
  <si>
    <t>Elite</t>
  </si>
  <si>
    <t>Rising</t>
  </si>
  <si>
    <t>Mystery Box</t>
  </si>
  <si>
    <t>DAO Treasure (OPS, Development)</t>
  </si>
  <si>
    <t>Value in $ (WC26=0,0065)</t>
  </si>
  <si>
    <t>DAO Treasure (OPS)</t>
  </si>
  <si>
    <t>Marketing, Sales Cost</t>
  </si>
  <si>
    <t>Transfer Market
($WC26, NFT Trading)</t>
  </si>
  <si>
    <t>Market Fee (Sell in Transfer Market)</t>
  </si>
  <si>
    <t>WC26</t>
  </si>
  <si>
    <t>Operations</t>
  </si>
  <si>
    <t>10 packs (1M WC26) * 2.500$/Pack</t>
  </si>
  <si>
    <t>25 packs (200K WC26) * 900$/Pack</t>
  </si>
  <si>
    <t>50 packs (100K WC26) * 550$/Pack</t>
  </si>
  <si>
    <t>Funds Allocation</t>
  </si>
  <si>
    <t>Total Round 1</t>
  </si>
  <si>
    <t>Reserve/Contingency</t>
  </si>
  <si>
    <t>Pre-sale Schedule</t>
  </si>
  <si>
    <t>SEED Round</t>
  </si>
  <si>
    <t>Price</t>
  </si>
  <si>
    <t>Value</t>
  </si>
  <si>
    <t>PRE-SALE SEED ROUND SCHEDULE</t>
  </si>
  <si>
    <t>(Vesting: 90-day cliff → 20%, Linear 10%/month × 8)</t>
  </si>
  <si>
    <t>Community Launch</t>
  </si>
  <si>
    <t>Min = 50$</t>
  </si>
  <si>
    <t>Round 3 - Lottery (Open 3 Days)</t>
  </si>
  <si>
    <t>Phase 2 - Public FCFS (Until Sold out/7 Days)</t>
  </si>
  <si>
    <t>Phase 1 - Whitelist (Airdrop participants, early supporters, KOL communities)</t>
  </si>
  <si>
    <t>Liquidity Pool</t>
  </si>
  <si>
    <t>DEX liquidity $WC26/USDT on QuickSwap</t>
  </si>
  <si>
    <t>Team scalling, Infrastructure costs, 
Customer support setup</t>
  </si>
  <si>
    <t xml:space="preserve">Reserve </t>
  </si>
  <si>
    <t>RAISED AS PLAN</t>
  </si>
  <si>
    <t>Vanguard 1 - The Origin</t>
  </si>
  <si>
    <t>Vanguard 2 - The Pathfinders</t>
  </si>
  <si>
    <t>Vanguard 3 - The Guardians</t>
  </si>
  <si>
    <t>-</t>
  </si>
  <si>
    <t>FUNDS ALLOCATION</t>
  </si>
  <si>
    <t>Total Funds Raised</t>
  </si>
  <si>
    <t>4. ASIAN CUP 2027 (Feb 2028):</t>
  </si>
  <si>
    <t>5. EURO 2028 (Jun-Jul 2028):</t>
  </si>
  <si>
    <t>3.5. EURO 2028</t>
  </si>
  <si>
    <t>3.4. Asian 2027</t>
  </si>
  <si>
    <t>StadiumNFTs AUCTION</t>
  </si>
  <si>
    <t>Governance Eligibility Criteria</t>
  </si>
  <si>
    <t>Criteria</t>
  </si>
  <si>
    <t>Fan</t>
  </si>
  <si>
    <t>Contributor</t>
  </si>
  <si>
    <t>Governor</t>
  </si>
  <si>
    <t>Vanguard</t>
  </si>
  <si>
    <t>1,000 WC26</t>
  </si>
  <si>
    <t>10,000 WC26</t>
  </si>
  <si>
    <t>100,000 WC26</t>
  </si>
  <si>
    <t>30 days</t>
  </si>
  <si>
    <t>90 days</t>
  </si>
  <si>
    <t>180 days</t>
  </si>
  <si>
    <t>360 days</t>
  </si>
  <si>
    <t>7 days</t>
  </si>
  <si>
    <t>14 days</t>
  </si>
  <si>
    <t>KYC Requirement</t>
  </si>
  <si>
    <t>Max Voting Weight Cap</t>
  </si>
  <si>
    <t>1,000,000 WC26</t>
  </si>
  <si>
    <t>5,000,000 WC26</t>
  </si>
  <si>
    <t>10,000,000 WC26</t>
  </si>
  <si>
    <t>Excess Stake Handling</t>
  </si>
  <si>
    <t>Ignored</t>
  </si>
  <si>
    <t>Staking Amount (Min)</t>
  </si>
  <si>
    <t xml:space="preserve">Staking Period </t>
  </si>
  <si>
    <t>Locked Time Before Rights Active</t>
  </si>
  <si>
    <t>No required</t>
  </si>
  <si>
    <t>500,000 WC26</t>
  </si>
  <si>
    <t>Email</t>
  </si>
  <si>
    <t>Email + Phone</t>
  </si>
  <si>
    <t>Email+ Phone+ID/Passport+Face</t>
  </si>
  <si>
    <t>Nguồn thưởng STAKING? Tỷ lệ phân bổ</t>
  </si>
  <si>
    <t>Ai được biểu quyết thay đổi Staking Amount, Period, Locked Time,...?</t>
  </si>
  <si>
    <t>10% (30-day cliff, 240-day linear vesting)</t>
  </si>
  <si>
    <t>20% (90-day cliff, 240-day linear vesting)</t>
  </si>
  <si>
    <t>20% (90-day cliff, 18-month linear vesting)</t>
  </si>
  <si>
    <t>Dynamic emission, match-based</t>
  </si>
  <si>
    <t>Emitted via Squad Fantasy, Oracle Challenge</t>
  </si>
  <si>
    <t>Event-based emission</t>
  </si>
  <si>
    <t>DAO-controlled</t>
  </si>
  <si>
    <t>Staking Program</t>
  </si>
  <si>
    <t>IN-GAME-ACTIVITIES INCOME SCHEME</t>
  </si>
  <si>
    <t>TOKENOMICS &gt; GAME REWARDS &gt; World Cup 2026</t>
  </si>
  <si>
    <t>Stage</t>
  </si>
  <si>
    <t>Matches</t>
  </si>
  <si>
    <t>Stage Total</t>
  </si>
  <si>
    <t>Group Stage</t>
  </si>
  <si>
    <t>Round of 16</t>
  </si>
  <si>
    <t>Quarter-finals</t>
  </si>
  <si>
    <t>Semi-finals</t>
  </si>
  <si>
    <t>Third Place Match</t>
  </si>
  <si>
    <t>Subtotal</t>
  </si>
  <si>
    <t>Special Awards</t>
  </si>
  <si>
    <t>Round of 32</t>
  </si>
  <si>
    <t>Tokens/Match</t>
  </si>
  <si>
    <t>World Cup 2026 Rewrads Distribution</t>
  </si>
  <si>
    <t xml:space="preserve">Total World Cup 2026 </t>
  </si>
  <si>
    <t>Tournament MVP</t>
  </si>
  <si>
    <t>Golden Boot (Top Scorer)</t>
  </si>
  <si>
    <t>Golden Glove (Best Goalkeeper)</t>
  </si>
  <si>
    <t>Best Young Player</t>
  </si>
  <si>
    <t>Featured Team of the Round</t>
  </si>
  <si>
    <t>Match MVP Reward</t>
  </si>
  <si>
    <t>Oracle Challenge Pool</t>
  </si>
  <si>
    <t>Squad Fantasy Ranking (1-10)</t>
  </si>
  <si>
    <t>(VIBE = 15%, ORACLE = 15%)</t>
  </si>
  <si>
    <t>DANH MỤC APPENDIX ĐỀ XUẤT – FINAL (SẠCH &amp; CHUẨN)</t>
  </si>
  <si>
    <t>📘 PUBLIC</t>
  </si>
  <si>
    <t>White Paper v1.5 (Final)</t>
  </si>
  <si>
    <t>APPENDIX A – Unified Rewards &amp; Token Emission</t>
  </si>
  <si>
    <t>APPENDIX B – Economic Policy Boundaries &amp; System Limits</t>
  </si>
  <si>
    <t>APPENDIX C – Emergency Scenario Matrix &amp; System Survival</t>
  </si>
  <si>
    <t>APPENDIX D – Stadium NFT</t>
  </si>
  <si>
    <t>APPENDIX E – Player NFT</t>
  </si>
  <si>
    <t>APPENDIX F – Core Games</t>
  </si>
  <si>
    <t>  F(1) Oracle Challenge</t>
  </si>
  <si>
    <t>  F(2) Squad Fantasy</t>
  </si>
  <si>
    <t>  F(3) Global Jury</t>
  </si>
  <si>
    <t>  F(4) Primary NFT Drops</t>
  </si>
  <si>
    <t>  F(5) Community Creator Hub</t>
  </si>
  <si>
    <t>  F(6) Transfer Market</t>
  </si>
  <si>
    <t>APPENDIX G – PIQUÉ AI Technical Workflow</t>
  </si>
  <si>
    <t>APPENDIX H – DAO Governance &amp; Voting Framework</t>
  </si>
  <si>
    <t>APPENDIX I – Legal, IP &amp; Data Rights Framework</t>
  </si>
  <si>
    <t>APPENDIX J – Risk Disclosure, Disclaimer &amp; Privacy Policy</t>
  </si>
  <si>
    <r>
      <t>(Optional)</t>
    </r>
    <r>
      <rPr>
        <sz val="12"/>
        <color theme="1"/>
        <rFont val="Aptos Narrow"/>
        <family val="2"/>
        <scheme val="minor"/>
      </rPr>
      <t xml:space="preserve"> APPENDIX K – Risk Factors &amp; System Assumptions</t>
    </r>
  </si>
  <si>
    <t>🔒 INTERNAL / SEMI-PUBLIC</t>
  </si>
  <si>
    <t>APPENDIX L – Treasury, Vaults &amp; Capital Flow</t>
  </si>
  <si>
    <t>APPENDIX M – AI Operations – Internal Playbook</t>
  </si>
  <si>
    <r>
      <t>(Optional)</t>
    </r>
    <r>
      <rPr>
        <sz val="12"/>
        <color theme="1"/>
        <rFont val="Aptos Narrow"/>
        <family val="2"/>
        <scheme val="minor"/>
      </rPr>
      <t xml:space="preserve"> APPENDIX N – Cross-Tournament Expansion (Internal)</t>
    </r>
  </si>
  <si>
    <t>4.1. Pre-WC Airdrop &amp; Onboarding</t>
  </si>
  <si>
    <t>4.2. Future Campaigns</t>
  </si>
  <si>
    <t>Milestone-based unlock</t>
  </si>
  <si>
    <t>20% Pre-Mystery Unlock + 90-Day Linear Vesting (*)</t>
  </si>
  <si>
    <t>Min = 100$</t>
  </si>
  <si>
    <r>
      <t xml:space="preserve">2.1. Phase 1 - Whitelist </t>
    </r>
    <r>
      <rPr>
        <sz val="8"/>
        <color theme="1"/>
        <rFont val="Aptos Display (Headings)"/>
      </rPr>
      <t>(Airdrop participants, early supporters, KOL communities)</t>
    </r>
  </si>
  <si>
    <r>
      <t xml:space="preserve">1.1. Round 1 - </t>
    </r>
    <r>
      <rPr>
        <b/>
        <sz val="11"/>
        <color theme="1"/>
        <rFont val="Aptos Display"/>
        <scheme val="major"/>
      </rPr>
      <t>The Vanguard 1</t>
    </r>
  </si>
  <si>
    <r>
      <t>1.2. Round 2 -</t>
    </r>
    <r>
      <rPr>
        <b/>
        <sz val="11"/>
        <color theme="1"/>
        <rFont val="Aptos Display"/>
        <scheme val="major"/>
      </rPr>
      <t xml:space="preserve"> The Vanguard 2</t>
    </r>
  </si>
  <si>
    <r>
      <t xml:space="preserve">1.3. Round 3 - </t>
    </r>
    <r>
      <rPr>
        <b/>
        <sz val="11"/>
        <color theme="1"/>
        <rFont val="Aptos Display"/>
        <scheme val="major"/>
      </rPr>
      <t>The Vanguard 3</t>
    </r>
  </si>
  <si>
    <t>(*) 20% of the airdrop will be unlocked 1-5 days before the Mystery Box sale date, followed by daily linear vesting over 90 days for the remaining 80%.</t>
  </si>
  <si>
    <r>
      <t xml:space="preserve">2.2. Phase 2 - Public FCFS </t>
    </r>
    <r>
      <rPr>
        <sz val="9"/>
        <color theme="1"/>
        <rFont val="Aptos Display (Headings)"/>
      </rPr>
      <t>(Until Sold out/7 Days)</t>
    </r>
  </si>
  <si>
    <r>
      <t xml:space="preserve">2.3. Phase 3 - Lottery </t>
    </r>
    <r>
      <rPr>
        <sz val="9"/>
        <color theme="1"/>
        <rFont val="Aptos Display (Headings)"/>
      </rPr>
      <t>(Open 3 Days)</t>
    </r>
  </si>
  <si>
    <r>
      <t xml:space="preserve">7. Treasury </t>
    </r>
    <r>
      <rPr>
        <sz val="10"/>
        <color theme="1"/>
        <rFont val="Aptos Display (Headings)"/>
      </rPr>
      <t>(Development, OPS, Reserve)</t>
    </r>
  </si>
  <si>
    <t>DAO-managed and replenished by ecosystem activities</t>
  </si>
  <si>
    <t>6. Liquidity Pool &amp; Buffer</t>
  </si>
  <si>
    <t>Provides liquidity and stability, DAO-managed 
and replenished by ecosystem revenue</t>
  </si>
  <si>
    <r>
      <t>Limited Supply:</t>
    </r>
    <r>
      <rPr>
        <sz val="11"/>
        <color theme="1"/>
        <rFont val="Aptos Narrow"/>
        <scheme val="minor"/>
      </rPr>
      <t xml:space="preserve"> 
Price Increased upon available packs.</t>
    </r>
  </si>
  <si>
    <t>MKT</t>
  </si>
  <si>
    <t>Public Sale</t>
  </si>
  <si>
    <t>Stadium</t>
  </si>
  <si>
    <t xml:space="preserve">   (Pre-WC Airdrop &amp; Onboarding)</t>
  </si>
  <si>
    <t>(Chuyển 6,5% &gt; Bán Public)</t>
  </si>
  <si>
    <t>(Chuyển 0,5% &gt; Bán Public)</t>
  </si>
  <si>
    <t>MVP, Smart Contacts, Airdrops Minigame, Basic-AI</t>
  </si>
  <si>
    <t>Marketing System (Social Media, etc...)</t>
  </si>
  <si>
    <t>Travel, Meet Up, Marketing, etc</t>
  </si>
  <si>
    <t>(Phân bổ cho thị trường, anh giữ 5%)</t>
  </si>
  <si>
    <t>Marketing Blitz (Khoán cho thị trường)</t>
  </si>
  <si>
    <t>(+70% tăng thêm do đấu giá)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</si>
</sst>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"/>
  </numFmts>
  <fonts count="67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24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b/>
      <sz val="13.5"/>
      <color theme="1"/>
      <name val="Aptos Narrow"/>
      <family val="2"/>
      <scheme val="minor"/>
    </font>
    <font>
      <i/>
      <sz val="12"/>
      <color theme="1"/>
      <name val="Aptos Narrow"/>
      <family val="2"/>
      <scheme val="minor"/>
    </font>
    <font>
      <sz val="10"/>
      <color theme="1"/>
      <name val="Arial Unicode MS"/>
      <family val="2"/>
    </font>
    <font>
      <sz val="12"/>
      <color theme="1"/>
      <name val="Aptos Display"/>
      <scheme val="major"/>
    </font>
    <font>
      <b/>
      <sz val="12"/>
      <color theme="1"/>
      <name val="Aptos Display"/>
      <scheme val="major"/>
    </font>
    <font>
      <b/>
      <sz val="12"/>
      <color theme="0" tint="-4.9989318521683403E-2"/>
      <name val="Aptos Display"/>
      <scheme val="major"/>
    </font>
    <font>
      <sz val="18"/>
      <color theme="1"/>
      <name val="Aptos Display"/>
      <scheme val="major"/>
    </font>
    <font>
      <b/>
      <sz val="18"/>
      <color theme="1"/>
      <name val="Aptos Display"/>
      <scheme val="major"/>
    </font>
    <font>
      <sz val="11"/>
      <color theme="1"/>
      <name val="Aptos Display"/>
      <scheme val="major"/>
    </font>
    <font>
      <b/>
      <sz val="11"/>
      <color theme="1"/>
      <name val="Aptos Display"/>
      <scheme val="major"/>
    </font>
    <font>
      <b/>
      <sz val="11"/>
      <color theme="0" tint="-4.9989318521683403E-2"/>
      <name val="Aptos Display"/>
      <scheme val="major"/>
    </font>
    <font>
      <sz val="11"/>
      <color theme="6" tint="-0.499984740745262"/>
      <name val="Aptos Display"/>
      <scheme val="major"/>
    </font>
    <font>
      <b/>
      <sz val="11"/>
      <color theme="6" tint="-0.499984740745262"/>
      <name val="Aptos Display"/>
      <scheme val="major"/>
    </font>
    <font>
      <b/>
      <sz val="10"/>
      <color theme="1"/>
      <name val="Arial Unicode MS"/>
      <family val="2"/>
    </font>
    <font>
      <b/>
      <sz val="18"/>
      <color rgb="FFC00000"/>
      <name val="Aptos Narrow"/>
      <family val="2"/>
      <scheme val="minor"/>
    </font>
    <font>
      <b/>
      <sz val="13.5"/>
      <color theme="7" tint="-0.249977111117893"/>
      <name val="Aptos Narrow"/>
      <family val="2"/>
      <scheme val="minor"/>
    </font>
    <font>
      <sz val="12"/>
      <color rgb="FFC00000"/>
      <name val="Aptos Narrow"/>
      <family val="2"/>
      <scheme val="minor"/>
    </font>
    <font>
      <b/>
      <sz val="13.5"/>
      <color rgb="FFC00000"/>
      <name val="Aptos Narrow"/>
      <family val="2"/>
      <scheme val="minor"/>
    </font>
    <font>
      <b/>
      <sz val="18"/>
      <color rgb="FFC00000"/>
      <name val="Aptos Display"/>
      <scheme val="major"/>
    </font>
    <font>
      <b/>
      <sz val="16"/>
      <color theme="7" tint="-0.499984740745262"/>
      <name val="Aptos Display"/>
      <scheme val="major"/>
    </font>
    <font>
      <b/>
      <i/>
      <sz val="11"/>
      <color theme="1"/>
      <name val="Aptos Display"/>
      <scheme val="major"/>
    </font>
    <font>
      <b/>
      <sz val="11"/>
      <color theme="8" tint="-0.499984740745262"/>
      <name val="Aptos Display"/>
      <scheme val="major"/>
    </font>
    <font>
      <sz val="11"/>
      <color theme="8" tint="-0.499984740745262"/>
      <name val="Aptos Display"/>
      <scheme val="major"/>
    </font>
    <font>
      <sz val="12"/>
      <color rgb="FF000000"/>
      <name val="Aptos Display"/>
      <scheme val="major"/>
    </font>
    <font>
      <sz val="11"/>
      <color theme="1"/>
      <name val="Aptos Narrow"/>
      <scheme val="minor"/>
    </font>
    <font>
      <b/>
      <sz val="11"/>
      <color theme="1"/>
      <name val="Aptos Narrow"/>
      <scheme val="minor"/>
    </font>
    <font>
      <sz val="12"/>
      <color theme="1"/>
      <name val="Aptos Narrow"/>
      <scheme val="minor"/>
    </font>
    <font>
      <sz val="14"/>
      <color theme="1"/>
      <name val="Aptos Narrow"/>
      <scheme val="minor"/>
    </font>
    <font>
      <b/>
      <sz val="14"/>
      <color theme="0" tint="-4.9989318521683403E-2"/>
      <name val="Aptos Narrow"/>
      <scheme val="minor"/>
    </font>
    <font>
      <b/>
      <sz val="12"/>
      <color theme="0" tint="-4.9989318521683403E-2"/>
      <name val="Aptos Narrow"/>
      <scheme val="minor"/>
    </font>
    <font>
      <sz val="10"/>
      <color theme="1"/>
      <name val="Aptos Display"/>
      <scheme val="major"/>
    </font>
    <font>
      <sz val="10"/>
      <color theme="1"/>
      <name val="Aptos Narrow"/>
      <scheme val="minor"/>
    </font>
    <font>
      <b/>
      <sz val="10"/>
      <color theme="1"/>
      <name val="Aptos Display"/>
      <scheme val="major"/>
    </font>
    <font>
      <sz val="10"/>
      <color theme="1"/>
      <name val="Aptos Narrow"/>
      <family val="2"/>
      <scheme val="minor"/>
    </font>
    <font>
      <b/>
      <sz val="10"/>
      <color theme="1"/>
      <name val="Aptos Narrow"/>
      <scheme val="minor"/>
    </font>
    <font>
      <b/>
      <sz val="10"/>
      <color theme="0" tint="-4.9989318521683403E-2"/>
      <name val="Aptos Display"/>
      <scheme val="major"/>
    </font>
    <font>
      <sz val="10"/>
      <color theme="0" tint="-4.9989318521683403E-2"/>
      <name val="Aptos Narrow"/>
      <family val="2"/>
      <scheme val="minor"/>
    </font>
    <font>
      <b/>
      <sz val="14"/>
      <color theme="1"/>
      <name val="Aptos Narrow"/>
      <scheme val="minor"/>
    </font>
    <font>
      <sz val="9"/>
      <color theme="1"/>
      <name val="Aptos Narrow"/>
      <family val="2"/>
      <scheme val="minor"/>
    </font>
    <font>
      <sz val="11"/>
      <color theme="0" tint="-4.9989318521683403E-2"/>
      <name val="Aptos Display"/>
      <scheme val="major"/>
    </font>
    <font>
      <sz val="10"/>
      <color theme="0"/>
      <name val="Aptos Narrow"/>
      <scheme val="minor"/>
    </font>
    <font>
      <b/>
      <sz val="11"/>
      <color theme="0"/>
      <name val="Aptos Display"/>
      <scheme val="major"/>
    </font>
    <font>
      <b/>
      <sz val="20"/>
      <color theme="1"/>
      <name val="Aptos Display"/>
      <scheme val="major"/>
    </font>
    <font>
      <b/>
      <sz val="12"/>
      <color theme="0"/>
      <name val="Aptos Display"/>
      <scheme val="major"/>
    </font>
    <font>
      <b/>
      <sz val="14"/>
      <color theme="8" tint="-0.249977111117893"/>
      <name val="Aptos Narrow"/>
      <scheme val="minor"/>
    </font>
    <font>
      <b/>
      <sz val="12"/>
      <color theme="0" tint="-4.9989318521683403E-2"/>
      <name val="Aptos Narrow"/>
      <family val="2"/>
      <scheme val="minor"/>
    </font>
    <font>
      <b/>
      <sz val="11"/>
      <color rgb="FF0D0D0D"/>
      <name val="Aptos Display"/>
      <scheme val="major"/>
    </font>
    <font>
      <sz val="11"/>
      <color rgb="FF0D0D0D"/>
      <name val="Aptos Display"/>
      <scheme val="major"/>
    </font>
    <font>
      <b/>
      <sz val="14"/>
      <color theme="1"/>
      <name val="Aptos Display"/>
      <scheme val="major"/>
    </font>
    <font>
      <sz val="12"/>
      <color theme="0"/>
      <name val="Aptos Display"/>
      <scheme val="major"/>
    </font>
    <font>
      <sz val="11"/>
      <color rgb="FF0F1115"/>
      <name val="Aptos Display"/>
      <scheme val="major"/>
    </font>
    <font>
      <sz val="10"/>
      <color theme="1"/>
      <name val="Aptos Display (Headings)"/>
    </font>
    <font>
      <sz val="9"/>
      <color theme="1"/>
      <name val="Aptos Display (Headings)"/>
    </font>
    <font>
      <sz val="8"/>
      <color theme="1"/>
      <name val="Aptos Display (Headings)"/>
    </font>
    <font>
      <sz val="11"/>
      <color theme="1"/>
      <name val="Aptos Narrow"/>
      <family val="2"/>
      <scheme val="minor"/>
    </font>
    <font>
      <b/>
      <sz val="11"/>
      <color rgb="FF0F1115"/>
      <name val="Aptos Display"/>
      <scheme val="major"/>
    </font>
    <font>
      <b/>
      <sz val="10"/>
      <color rgb="FFC00000"/>
      <name val="Aptos Display"/>
      <scheme val="major"/>
    </font>
    <font>
      <b/>
      <sz val="11"/>
      <color rgb="FFC00000"/>
      <name val="Aptos Display"/>
      <scheme val="major"/>
    </font>
    <font>
      <b/>
      <sz val="10"/>
      <color theme="1"/>
      <name val="Aptos Narrow"/>
      <family val="2"/>
      <scheme val="minor"/>
    </font>
    <font>
      <b/>
      <sz val="10"/>
      <color theme="1" tint="4.9989318521683403E-2"/>
      <name val="Aptos Display"/>
      <scheme val="major"/>
    </font>
    <font>
      <b/>
      <sz val="10"/>
      <color theme="1" tint="4.9989318521683403E-2"/>
      <name val="Aptos Narrow"/>
      <family val="2"/>
      <scheme val="minor"/>
    </font>
    <font>
      <b/>
      <sz val="12"/>
      <color theme="1"/>
      <name val="Aptos Narrow"/>
      <scheme val="minor"/>
    </font>
  </fonts>
  <fills count="8">
    <fill>
      <patternFill patternType="none"/>
    </fill>
    <fill>
      <patternFill patternType="gray125"/>
    </fill>
    <fill>
      <patternFill patternType="solid">
        <fgColor theme="7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29">
    <xf numFmtId="0" fontId="0" fillId="0" borderId="0" xfId="0"/>
    <xf numFmtId="0" fontId="2" fillId="0" borderId="0" xfId="0" applyFont="1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8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11" fillId="0" borderId="0" xfId="0" applyFont="1"/>
    <xf numFmtId="0" fontId="13" fillId="0" borderId="0" xfId="0" applyFont="1" applyAlignment="1">
      <alignment vertical="center"/>
    </xf>
    <xf numFmtId="3" fontId="13" fillId="0" borderId="0" xfId="0" applyNumberFormat="1" applyFont="1" applyAlignment="1">
      <alignment vertical="center"/>
    </xf>
    <xf numFmtId="0" fontId="11" fillId="0" borderId="0" xfId="0" applyFont="1" applyAlignment="1">
      <alignment horizontal="center"/>
    </xf>
    <xf numFmtId="0" fontId="13" fillId="0" borderId="0" xfId="0" applyFont="1"/>
    <xf numFmtId="0" fontId="13" fillId="0" borderId="0" xfId="0" applyFont="1" applyAlignment="1">
      <alignment horizontal="center"/>
    </xf>
    <xf numFmtId="0" fontId="13" fillId="0" borderId="0" xfId="0" applyFont="1" applyAlignment="1">
      <alignment horizontal="center" vertical="center"/>
    </xf>
    <xf numFmtId="0" fontId="15" fillId="2" borderId="0" xfId="0" applyFont="1" applyFill="1" applyAlignment="1">
      <alignment horizontal="center" vertical="center" wrapText="1"/>
    </xf>
    <xf numFmtId="0" fontId="16" fillId="0" borderId="0" xfId="0" applyFont="1" applyAlignment="1">
      <alignment vertical="center"/>
    </xf>
    <xf numFmtId="0" fontId="17" fillId="0" borderId="0" xfId="0" applyFont="1" applyAlignment="1">
      <alignment horizontal="center" vertical="center" wrapText="1"/>
    </xf>
    <xf numFmtId="3" fontId="16" fillId="0" borderId="0" xfId="0" applyNumberFormat="1" applyFont="1" applyAlignment="1">
      <alignment vertical="center"/>
    </xf>
    <xf numFmtId="0" fontId="21" fillId="0" borderId="0" xfId="0" applyFont="1"/>
    <xf numFmtId="0" fontId="23" fillId="0" borderId="0" xfId="0" applyFont="1" applyAlignment="1">
      <alignment horizontal="left" indent="2"/>
    </xf>
    <xf numFmtId="0" fontId="24" fillId="0" borderId="0" xfId="0" applyFont="1" applyAlignment="1">
      <alignment horizontal="left" indent="2"/>
    </xf>
    <xf numFmtId="0" fontId="25" fillId="0" borderId="0" xfId="0" applyFont="1" applyAlignment="1">
      <alignment horizontal="left" indent="2"/>
    </xf>
    <xf numFmtId="3" fontId="26" fillId="0" borderId="0" xfId="0" applyNumberFormat="1" applyFont="1" applyAlignment="1">
      <alignment horizontal="left" vertical="center" indent="2"/>
    </xf>
    <xf numFmtId="3" fontId="15" fillId="2" borderId="0" xfId="0" applyNumberFormat="1" applyFont="1" applyFill="1" applyAlignment="1">
      <alignment horizontal="left" vertical="center" wrapText="1" indent="2"/>
    </xf>
    <xf numFmtId="3" fontId="17" fillId="0" borderId="0" xfId="0" applyNumberFormat="1" applyFont="1" applyAlignment="1">
      <alignment horizontal="left" vertical="center" wrapText="1" indent="2"/>
    </xf>
    <xf numFmtId="3" fontId="13" fillId="0" borderId="0" xfId="0" applyNumberFormat="1" applyFont="1" applyAlignment="1">
      <alignment horizontal="left" vertical="center" indent="2"/>
    </xf>
    <xf numFmtId="0" fontId="11" fillId="0" borderId="0" xfId="0" applyFont="1" applyAlignment="1">
      <alignment horizontal="right" indent="1"/>
    </xf>
    <xf numFmtId="0" fontId="13" fillId="0" borderId="0" xfId="0" applyFont="1" applyAlignment="1">
      <alignment horizontal="right" indent="1"/>
    </xf>
    <xf numFmtId="0" fontId="27" fillId="0" borderId="0" xfId="0" applyFont="1" applyAlignment="1">
      <alignment horizontal="right" vertical="center" indent="1"/>
    </xf>
    <xf numFmtId="0" fontId="26" fillId="0" borderId="0" xfId="0" applyFont="1" applyAlignment="1">
      <alignment horizontal="right" vertical="center" indent="1"/>
    </xf>
    <xf numFmtId="3" fontId="26" fillId="0" borderId="0" xfId="0" applyNumberFormat="1" applyFont="1" applyAlignment="1">
      <alignment horizontal="right" vertical="center" wrapText="1" indent="1"/>
    </xf>
    <xf numFmtId="0" fontId="15" fillId="2" borderId="0" xfId="0" applyFont="1" applyFill="1" applyAlignment="1">
      <alignment horizontal="right" vertical="center" wrapText="1" indent="1"/>
    </xf>
    <xf numFmtId="10" fontId="17" fillId="0" borderId="0" xfId="0" applyNumberFormat="1" applyFont="1" applyAlignment="1">
      <alignment horizontal="right" vertical="center" wrapText="1" indent="1"/>
    </xf>
    <xf numFmtId="3" fontId="17" fillId="0" borderId="0" xfId="0" applyNumberFormat="1" applyFont="1" applyAlignment="1">
      <alignment horizontal="right" vertical="center" wrapText="1" indent="1"/>
    </xf>
    <xf numFmtId="0" fontId="17" fillId="0" borderId="0" xfId="0" applyFont="1" applyAlignment="1">
      <alignment horizontal="right" vertical="center" wrapText="1" indent="1"/>
    </xf>
    <xf numFmtId="10" fontId="13" fillId="0" borderId="0" xfId="0" applyNumberFormat="1" applyFont="1" applyAlignment="1">
      <alignment horizontal="right" vertical="center" wrapText="1" indent="1"/>
    </xf>
    <xf numFmtId="0" fontId="13" fillId="0" borderId="0" xfId="0" applyFont="1" applyAlignment="1">
      <alignment horizontal="right" vertical="center" indent="1"/>
    </xf>
    <xf numFmtId="0" fontId="3" fillId="0" borderId="0" xfId="0" applyFont="1" applyAlignment="1">
      <alignment horizontal="left" indent="1"/>
    </xf>
    <xf numFmtId="0" fontId="4" fillId="0" borderId="0" xfId="0" applyFont="1" applyAlignment="1">
      <alignment horizontal="left" indent="1"/>
    </xf>
    <xf numFmtId="0" fontId="6" fillId="0" borderId="0" xfId="0" applyFont="1" applyAlignment="1">
      <alignment horizontal="left" indent="1"/>
    </xf>
    <xf numFmtId="0" fontId="19" fillId="0" borderId="0" xfId="0" applyFont="1" applyAlignment="1">
      <alignment horizontal="left" indent="1"/>
    </xf>
    <xf numFmtId="0" fontId="5" fillId="0" borderId="0" xfId="0" applyFont="1" applyAlignment="1">
      <alignment horizontal="left" indent="1"/>
    </xf>
    <xf numFmtId="0" fontId="18" fillId="0" borderId="0" xfId="0" applyFont="1" applyAlignment="1">
      <alignment horizontal="left" indent="1"/>
    </xf>
    <xf numFmtId="0" fontId="7" fillId="0" borderId="0" xfId="0" applyFont="1" applyAlignment="1">
      <alignment horizontal="left" indent="1"/>
    </xf>
    <xf numFmtId="0" fontId="0" fillId="0" borderId="0" xfId="0" applyAlignment="1">
      <alignment horizontal="left" indent="1"/>
    </xf>
    <xf numFmtId="0" fontId="20" fillId="0" borderId="0" xfId="0" applyFont="1" applyAlignment="1">
      <alignment horizontal="left" indent="1"/>
    </xf>
    <xf numFmtId="0" fontId="22" fillId="0" borderId="0" xfId="0" applyFont="1" applyAlignment="1">
      <alignment horizontal="left" indent="1"/>
    </xf>
    <xf numFmtId="0" fontId="12" fillId="0" borderId="0" xfId="0" applyFont="1" applyAlignment="1">
      <alignment vertical="center"/>
    </xf>
    <xf numFmtId="0" fontId="8" fillId="0" borderId="0" xfId="0" applyFont="1"/>
    <xf numFmtId="10" fontId="9" fillId="0" borderId="0" xfId="1" applyNumberFormat="1" applyFont="1" applyAlignment="1">
      <alignment vertical="center"/>
    </xf>
    <xf numFmtId="0" fontId="28" fillId="0" borderId="0" xfId="0" applyFont="1" applyAlignment="1">
      <alignment vertical="center" wrapText="1"/>
    </xf>
    <xf numFmtId="10" fontId="8" fillId="0" borderId="0" xfId="1" applyNumberFormat="1" applyFont="1" applyAlignment="1">
      <alignment vertical="center"/>
    </xf>
    <xf numFmtId="0" fontId="28" fillId="0" borderId="0" xfId="0" applyFont="1" applyAlignment="1">
      <alignment vertical="center"/>
    </xf>
    <xf numFmtId="0" fontId="8" fillId="3" borderId="0" xfId="0" applyFont="1" applyFill="1" applyAlignment="1">
      <alignment vertical="center"/>
    </xf>
    <xf numFmtId="10" fontId="8" fillId="3" borderId="0" xfId="1" applyNumberFormat="1" applyFont="1" applyFill="1" applyAlignment="1">
      <alignment vertical="center"/>
    </xf>
    <xf numFmtId="10" fontId="8" fillId="0" borderId="0" xfId="1" applyNumberFormat="1" applyFont="1"/>
    <xf numFmtId="3" fontId="9" fillId="0" borderId="0" xfId="0" applyNumberFormat="1" applyFont="1" applyAlignment="1">
      <alignment horizontal="right" vertical="center" wrapText="1"/>
    </xf>
    <xf numFmtId="0" fontId="9" fillId="0" borderId="0" xfId="0" applyFont="1" applyAlignment="1">
      <alignment vertical="center" wrapText="1"/>
    </xf>
    <xf numFmtId="3" fontId="8" fillId="0" borderId="0" xfId="0" applyNumberFormat="1" applyFont="1" applyAlignment="1">
      <alignment horizontal="right" vertical="center" wrapText="1"/>
    </xf>
    <xf numFmtId="0" fontId="8" fillId="0" borderId="0" xfId="0" applyFont="1" applyAlignment="1">
      <alignment vertical="center" wrapText="1"/>
    </xf>
    <xf numFmtId="3" fontId="13" fillId="0" borderId="0" xfId="0" applyNumberFormat="1" applyFont="1" applyAlignment="1">
      <alignment horizontal="left" vertical="center" indent="1"/>
    </xf>
    <xf numFmtId="164" fontId="16" fillId="0" borderId="0" xfId="0" applyNumberFormat="1" applyFont="1" applyAlignment="1">
      <alignment vertical="center"/>
    </xf>
    <xf numFmtId="0" fontId="9" fillId="0" borderId="0" xfId="0" applyFont="1" applyAlignment="1">
      <alignment horizontal="center" vertical="center" wrapText="1"/>
    </xf>
    <xf numFmtId="0" fontId="17" fillId="0" borderId="0" xfId="0" applyFont="1" applyAlignment="1">
      <alignment vertical="center"/>
    </xf>
    <xf numFmtId="3" fontId="14" fillId="0" borderId="0" xfId="0" applyNumberFormat="1" applyFont="1" applyAlignment="1">
      <alignment horizontal="left" vertical="center" wrapText="1" indent="1"/>
    </xf>
    <xf numFmtId="10" fontId="14" fillId="0" borderId="0" xfId="0" applyNumberFormat="1" applyFont="1" applyAlignment="1">
      <alignment horizontal="right" vertical="center" wrapText="1"/>
    </xf>
    <xf numFmtId="3" fontId="14" fillId="0" borderId="0" xfId="0" applyNumberFormat="1" applyFont="1" applyAlignment="1">
      <alignment horizontal="right" vertical="center" wrapText="1"/>
    </xf>
    <xf numFmtId="0" fontId="14" fillId="0" borderId="0" xfId="0" applyFont="1" applyAlignment="1">
      <alignment horizontal="center" vertical="center" wrapText="1"/>
    </xf>
    <xf numFmtId="3" fontId="13" fillId="0" borderId="0" xfId="0" applyNumberFormat="1" applyFont="1" applyAlignment="1">
      <alignment horizontal="left" vertical="center" wrapText="1" indent="1"/>
    </xf>
    <xf numFmtId="10" fontId="13" fillId="0" borderId="0" xfId="0" applyNumberFormat="1" applyFont="1" applyAlignment="1">
      <alignment horizontal="right" vertical="center" wrapText="1"/>
    </xf>
    <xf numFmtId="3" fontId="13" fillId="0" borderId="0" xfId="0" applyNumberFormat="1" applyFont="1" applyAlignment="1">
      <alignment horizontal="right" vertical="center" wrapText="1"/>
    </xf>
    <xf numFmtId="0" fontId="13" fillId="0" borderId="0" xfId="0" applyFont="1" applyAlignment="1">
      <alignment vertical="center" wrapText="1"/>
    </xf>
    <xf numFmtId="0" fontId="14" fillId="0" borderId="0" xfId="0" applyFont="1" applyAlignment="1">
      <alignment vertical="center" wrapText="1"/>
    </xf>
    <xf numFmtId="3" fontId="13" fillId="2" borderId="0" xfId="0" applyNumberFormat="1" applyFont="1" applyFill="1" applyAlignment="1">
      <alignment horizontal="left" vertical="center" indent="1"/>
    </xf>
    <xf numFmtId="0" fontId="13" fillId="2" borderId="0" xfId="0" applyFont="1" applyFill="1" applyAlignment="1">
      <alignment horizontal="right" vertical="center"/>
    </xf>
    <xf numFmtId="0" fontId="13" fillId="2" borderId="0" xfId="0" applyFont="1" applyFill="1" applyAlignment="1">
      <alignment vertical="center"/>
    </xf>
    <xf numFmtId="10" fontId="17" fillId="0" borderId="0" xfId="0" applyNumberFormat="1" applyFont="1" applyAlignment="1">
      <alignment horizontal="right" vertical="center" wrapText="1"/>
    </xf>
    <xf numFmtId="0" fontId="8" fillId="0" borderId="0" xfId="0" applyFont="1" applyAlignment="1">
      <alignment horizontal="center" vertical="center"/>
    </xf>
    <xf numFmtId="3" fontId="8" fillId="0" borderId="0" xfId="0" applyNumberFormat="1" applyFont="1" applyAlignment="1">
      <alignment vertical="center"/>
    </xf>
    <xf numFmtId="0" fontId="8" fillId="0" borderId="0" xfId="0" applyFont="1" applyAlignment="1">
      <alignment horizontal="center" vertical="center" wrapText="1"/>
    </xf>
    <xf numFmtId="10" fontId="8" fillId="0" borderId="0" xfId="0" applyNumberFormat="1" applyFont="1" applyAlignment="1">
      <alignment vertical="center"/>
    </xf>
    <xf numFmtId="0" fontId="13" fillId="0" borderId="0" xfId="0" applyFont="1" applyAlignment="1">
      <alignment horizontal="right" vertical="center"/>
    </xf>
    <xf numFmtId="3" fontId="13" fillId="0" borderId="0" xfId="0" applyNumberFormat="1" applyFont="1"/>
    <xf numFmtId="0" fontId="13" fillId="0" borderId="0" xfId="0" applyFont="1" applyAlignment="1">
      <alignment horizontal="left" indent="1"/>
    </xf>
    <xf numFmtId="0" fontId="29" fillId="0" borderId="0" xfId="0" applyFont="1" applyAlignment="1">
      <alignment horizontal="right" vertical="center"/>
    </xf>
    <xf numFmtId="3" fontId="30" fillId="0" borderId="0" xfId="0" applyNumberFormat="1" applyFont="1" applyAlignment="1">
      <alignment horizontal="right" vertical="center"/>
    </xf>
    <xf numFmtId="0" fontId="30" fillId="0" borderId="0" xfId="0" applyFont="1" applyAlignment="1">
      <alignment horizontal="right" vertical="center"/>
    </xf>
    <xf numFmtId="0" fontId="30" fillId="0" borderId="0" xfId="0" applyFont="1" applyAlignment="1">
      <alignment horizontal="right" vertical="center" wrapText="1"/>
    </xf>
    <xf numFmtId="0" fontId="13" fillId="0" borderId="0" xfId="0" applyFont="1" applyAlignment="1">
      <alignment horizontal="left" vertical="center" wrapText="1" indent="1"/>
    </xf>
    <xf numFmtId="0" fontId="31" fillId="0" borderId="0" xfId="0" applyFont="1" applyAlignment="1">
      <alignment horizontal="right" vertical="center"/>
    </xf>
    <xf numFmtId="0" fontId="32" fillId="0" borderId="0" xfId="0" applyFont="1" applyAlignment="1">
      <alignment horizontal="right" vertical="center"/>
    </xf>
    <xf numFmtId="3" fontId="29" fillId="0" borderId="0" xfId="0" applyNumberFormat="1" applyFont="1" applyAlignment="1">
      <alignment horizontal="right" vertical="center"/>
    </xf>
    <xf numFmtId="9" fontId="29" fillId="0" borderId="0" xfId="0" applyNumberFormat="1" applyFont="1" applyAlignment="1">
      <alignment horizontal="right" vertical="center"/>
    </xf>
    <xf numFmtId="0" fontId="30" fillId="0" borderId="0" xfId="0" applyFont="1" applyAlignment="1">
      <alignment horizontal="right"/>
    </xf>
    <xf numFmtId="165" fontId="29" fillId="0" borderId="0" xfId="0" applyNumberFormat="1" applyFont="1" applyAlignment="1">
      <alignment horizontal="right" vertical="center"/>
    </xf>
    <xf numFmtId="0" fontId="35" fillId="0" borderId="0" xfId="0" applyFont="1" applyAlignment="1">
      <alignment vertical="center"/>
    </xf>
    <xf numFmtId="10" fontId="35" fillId="0" borderId="0" xfId="1" applyNumberFormat="1" applyFont="1" applyAlignment="1">
      <alignment horizontal="right" vertical="center"/>
    </xf>
    <xf numFmtId="3" fontId="36" fillId="0" borderId="0" xfId="0" applyNumberFormat="1" applyFont="1" applyAlignment="1">
      <alignment horizontal="right" vertical="center"/>
    </xf>
    <xf numFmtId="3" fontId="13" fillId="0" borderId="0" xfId="0" applyNumberFormat="1" applyFont="1" applyAlignment="1">
      <alignment horizontal="left" vertical="center" wrapText="1"/>
    </xf>
    <xf numFmtId="0" fontId="13" fillId="0" borderId="0" xfId="0" applyFont="1" applyAlignment="1">
      <alignment horizontal="center" vertical="center" wrapText="1"/>
    </xf>
    <xf numFmtId="3" fontId="35" fillId="0" borderId="0" xfId="0" applyNumberFormat="1" applyFont="1" applyAlignment="1">
      <alignment horizontal="left" vertical="center" wrapText="1"/>
    </xf>
    <xf numFmtId="3" fontId="35" fillId="0" borderId="0" xfId="0" applyNumberFormat="1" applyFont="1" applyAlignment="1">
      <alignment horizontal="right" vertical="center" wrapText="1"/>
    </xf>
    <xf numFmtId="3" fontId="37" fillId="0" borderId="0" xfId="0" applyNumberFormat="1" applyFont="1" applyAlignment="1">
      <alignment horizontal="left" vertical="center" wrapText="1"/>
    </xf>
    <xf numFmtId="3" fontId="37" fillId="4" borderId="0" xfId="0" applyNumberFormat="1" applyFont="1" applyFill="1" applyAlignment="1">
      <alignment horizontal="left" vertical="center" wrapText="1"/>
    </xf>
    <xf numFmtId="3" fontId="40" fillId="5" borderId="0" xfId="0" applyNumberFormat="1" applyFont="1" applyFill="1" applyAlignment="1">
      <alignment horizontal="left" vertical="center" wrapText="1"/>
    </xf>
    <xf numFmtId="3" fontId="35" fillId="0" borderId="0" xfId="0" applyNumberFormat="1" applyFont="1" applyAlignment="1">
      <alignment vertical="center" wrapText="1"/>
    </xf>
    <xf numFmtId="164" fontId="13" fillId="0" borderId="0" xfId="0" applyNumberFormat="1" applyFont="1" applyAlignment="1">
      <alignment vertical="center"/>
    </xf>
    <xf numFmtId="0" fontId="40" fillId="5" borderId="0" xfId="0" applyFont="1" applyFill="1" applyAlignment="1">
      <alignment horizontal="center" vertical="center" wrapText="1"/>
    </xf>
    <xf numFmtId="10" fontId="37" fillId="0" borderId="0" xfId="0" applyNumberFormat="1" applyFont="1" applyAlignment="1">
      <alignment horizontal="right" vertical="center" wrapText="1"/>
    </xf>
    <xf numFmtId="3" fontId="37" fillId="0" borderId="0" xfId="0" applyNumberFormat="1" applyFont="1" applyAlignment="1">
      <alignment horizontal="right" vertical="center" wrapText="1"/>
    </xf>
    <xf numFmtId="164" fontId="37" fillId="0" borderId="0" xfId="0" applyNumberFormat="1" applyFont="1" applyAlignment="1">
      <alignment vertical="center"/>
    </xf>
    <xf numFmtId="0" fontId="37" fillId="0" borderId="0" xfId="0" applyFont="1" applyAlignment="1">
      <alignment horizontal="center" vertical="center" wrapText="1"/>
    </xf>
    <xf numFmtId="10" fontId="35" fillId="0" borderId="0" xfId="0" applyNumberFormat="1" applyFont="1" applyAlignment="1">
      <alignment horizontal="right" vertical="center" wrapText="1"/>
    </xf>
    <xf numFmtId="0" fontId="35" fillId="0" borderId="0" xfId="0" applyFont="1" applyAlignment="1">
      <alignment horizontal="center" vertical="center" wrapText="1"/>
    </xf>
    <xf numFmtId="164" fontId="35" fillId="0" borderId="0" xfId="0" applyNumberFormat="1" applyFont="1" applyAlignment="1">
      <alignment vertical="center"/>
    </xf>
    <xf numFmtId="0" fontId="0" fillId="0" borderId="0" xfId="0" applyAlignment="1">
      <alignment vertical="center"/>
    </xf>
    <xf numFmtId="10" fontId="40" fillId="5" borderId="0" xfId="0" applyNumberFormat="1" applyFont="1" applyFill="1" applyAlignment="1">
      <alignment horizontal="right" vertical="center" wrapText="1"/>
    </xf>
    <xf numFmtId="3" fontId="40" fillId="5" borderId="0" xfId="0" applyNumberFormat="1" applyFont="1" applyFill="1" applyAlignment="1">
      <alignment horizontal="right" vertical="center" wrapText="1"/>
    </xf>
    <xf numFmtId="0" fontId="40" fillId="5" borderId="0" xfId="0" applyFont="1" applyFill="1" applyAlignment="1">
      <alignment horizontal="right" vertical="center" wrapText="1"/>
    </xf>
    <xf numFmtId="0" fontId="38" fillId="0" borderId="0" xfId="0" applyFont="1" applyAlignment="1">
      <alignment vertical="center"/>
    </xf>
    <xf numFmtId="0" fontId="38" fillId="5" borderId="0" xfId="0" applyFont="1" applyFill="1" applyAlignment="1">
      <alignment vertical="center"/>
    </xf>
    <xf numFmtId="0" fontId="41" fillId="5" borderId="0" xfId="0" applyFont="1" applyFill="1" applyAlignment="1">
      <alignment vertical="center"/>
    </xf>
    <xf numFmtId="9" fontId="39" fillId="4" borderId="0" xfId="0" applyNumberFormat="1" applyFont="1" applyFill="1" applyAlignment="1">
      <alignment vertical="center"/>
    </xf>
    <xf numFmtId="3" fontId="39" fillId="4" borderId="0" xfId="0" applyNumberFormat="1" applyFont="1" applyFill="1" applyAlignment="1">
      <alignment vertical="center"/>
    </xf>
    <xf numFmtId="0" fontId="38" fillId="4" borderId="0" xfId="0" applyFont="1" applyFill="1" applyAlignment="1">
      <alignment vertical="center"/>
    </xf>
    <xf numFmtId="9" fontId="38" fillId="0" borderId="0" xfId="1" applyFont="1" applyAlignment="1">
      <alignment vertical="center"/>
    </xf>
    <xf numFmtId="0" fontId="42" fillId="0" borderId="0" xfId="0" applyFont="1" applyAlignment="1">
      <alignment vertical="center"/>
    </xf>
    <xf numFmtId="0" fontId="43" fillId="0" borderId="0" xfId="0" applyFont="1" applyAlignment="1">
      <alignment horizontal="center" vertical="center"/>
    </xf>
    <xf numFmtId="0" fontId="43" fillId="0" borderId="0" xfId="0" applyFont="1" applyAlignment="1">
      <alignment horizontal="center" vertical="center" wrapText="1"/>
    </xf>
    <xf numFmtId="9" fontId="29" fillId="0" borderId="0" xfId="0" quotePrefix="1" applyNumberFormat="1" applyFont="1" applyAlignment="1">
      <alignment horizontal="right" vertical="center"/>
    </xf>
    <xf numFmtId="0" fontId="10" fillId="5" borderId="0" xfId="0" applyFont="1" applyFill="1" applyAlignment="1">
      <alignment horizontal="center" vertical="center" wrapText="1"/>
    </xf>
    <xf numFmtId="0" fontId="10" fillId="5" borderId="0" xfId="0" applyFont="1" applyFill="1" applyAlignment="1">
      <alignment vertical="center" wrapText="1"/>
    </xf>
    <xf numFmtId="3" fontId="10" fillId="5" borderId="0" xfId="0" applyNumberFormat="1" applyFont="1" applyFill="1" applyAlignment="1">
      <alignment horizontal="right" vertical="center" wrapText="1"/>
    </xf>
    <xf numFmtId="0" fontId="10" fillId="5" borderId="0" xfId="0" applyFont="1" applyFill="1" applyAlignment="1">
      <alignment horizontal="right" vertical="center" wrapText="1"/>
    </xf>
    <xf numFmtId="0" fontId="10" fillId="5" borderId="0" xfId="0" applyFont="1" applyFill="1" applyAlignment="1">
      <alignment horizontal="center" vertical="center"/>
    </xf>
    <xf numFmtId="0" fontId="10" fillId="5" borderId="0" xfId="0" applyFont="1" applyFill="1" applyAlignment="1">
      <alignment vertical="center"/>
    </xf>
    <xf numFmtId="3" fontId="10" fillId="5" borderId="0" xfId="0" applyNumberFormat="1" applyFont="1" applyFill="1" applyAlignment="1">
      <alignment vertical="center"/>
    </xf>
    <xf numFmtId="3" fontId="40" fillId="5" borderId="0" xfId="0" applyNumberFormat="1" applyFont="1" applyFill="1" applyAlignment="1">
      <alignment vertical="center" wrapText="1"/>
    </xf>
    <xf numFmtId="0" fontId="8" fillId="5" borderId="0" xfId="0" applyFont="1" applyFill="1" applyAlignment="1">
      <alignment vertical="center"/>
    </xf>
    <xf numFmtId="0" fontId="8" fillId="5" borderId="0" xfId="0" applyFont="1" applyFill="1" applyAlignment="1">
      <alignment horizontal="center" vertical="center"/>
    </xf>
    <xf numFmtId="3" fontId="8" fillId="5" borderId="0" xfId="0" applyNumberFormat="1" applyFont="1" applyFill="1" applyAlignment="1">
      <alignment vertical="center"/>
    </xf>
    <xf numFmtId="0" fontId="15" fillId="5" borderId="0" xfId="0" applyFont="1" applyFill="1" applyAlignment="1">
      <alignment horizontal="left" vertical="center" wrapText="1" indent="1"/>
    </xf>
    <xf numFmtId="3" fontId="15" fillId="5" borderId="0" xfId="0" applyNumberFormat="1" applyFont="1" applyFill="1" applyAlignment="1">
      <alignment horizontal="right" vertical="center" wrapText="1"/>
    </xf>
    <xf numFmtId="0" fontId="15" fillId="5" borderId="0" xfId="0" applyFont="1" applyFill="1" applyAlignment="1">
      <alignment horizontal="right" vertical="center" wrapText="1"/>
    </xf>
    <xf numFmtId="0" fontId="15" fillId="5" borderId="0" xfId="0" applyFont="1" applyFill="1" applyAlignment="1">
      <alignment horizontal="center" vertical="center"/>
    </xf>
    <xf numFmtId="0" fontId="14" fillId="0" borderId="0" xfId="0" applyFont="1" applyAlignment="1">
      <alignment vertical="center"/>
    </xf>
    <xf numFmtId="3" fontId="15" fillId="5" borderId="0" xfId="0" applyNumberFormat="1" applyFont="1" applyFill="1" applyAlignment="1">
      <alignment vertical="center"/>
    </xf>
    <xf numFmtId="0" fontId="15" fillId="5" borderId="0" xfId="0" applyFont="1" applyFill="1" applyAlignment="1">
      <alignment vertical="center"/>
    </xf>
    <xf numFmtId="0" fontId="34" fillId="5" borderId="0" xfId="0" applyFont="1" applyFill="1" applyAlignment="1">
      <alignment horizontal="right" vertical="center"/>
    </xf>
    <xf numFmtId="0" fontId="33" fillId="5" borderId="0" xfId="0" applyFont="1" applyFill="1" applyAlignment="1">
      <alignment horizontal="right" vertical="center"/>
    </xf>
    <xf numFmtId="3" fontId="45" fillId="0" borderId="0" xfId="0" applyNumberFormat="1" applyFont="1" applyAlignment="1">
      <alignment horizontal="right" vertical="center"/>
    </xf>
    <xf numFmtId="0" fontId="31" fillId="0" borderId="0" xfId="0" applyFont="1" applyAlignment="1">
      <alignment horizontal="left" vertical="center"/>
    </xf>
    <xf numFmtId="3" fontId="14" fillId="0" borderId="0" xfId="0" applyNumberFormat="1" applyFont="1" applyAlignment="1">
      <alignment horizontal="right" vertical="center"/>
    </xf>
    <xf numFmtId="0" fontId="14" fillId="0" borderId="0" xfId="0" applyFont="1" applyAlignment="1">
      <alignment horizontal="right" vertical="center"/>
    </xf>
    <xf numFmtId="0" fontId="46" fillId="5" borderId="0" xfId="0" applyFont="1" applyFill="1" applyAlignment="1">
      <alignment horizontal="left" vertical="center"/>
    </xf>
    <xf numFmtId="10" fontId="46" fillId="5" borderId="0" xfId="1" applyNumberFormat="1" applyFont="1" applyFill="1" applyAlignment="1">
      <alignment horizontal="right" vertical="center"/>
    </xf>
    <xf numFmtId="3" fontId="46" fillId="5" borderId="0" xfId="0" applyNumberFormat="1" applyFont="1" applyFill="1" applyAlignment="1">
      <alignment horizontal="right" vertical="center"/>
    </xf>
    <xf numFmtId="0" fontId="42" fillId="6" borderId="0" xfId="0" applyFont="1" applyFill="1" applyAlignment="1">
      <alignment vertical="center"/>
    </xf>
    <xf numFmtId="0" fontId="47" fillId="6" borderId="0" xfId="0" applyFont="1" applyFill="1" applyAlignment="1">
      <alignment vertical="center"/>
    </xf>
    <xf numFmtId="0" fontId="8" fillId="6" borderId="0" xfId="0" applyFont="1" applyFill="1" applyAlignment="1">
      <alignment vertical="center"/>
    </xf>
    <xf numFmtId="10" fontId="8" fillId="0" borderId="0" xfId="0" applyNumberFormat="1" applyFont="1" applyAlignment="1">
      <alignment horizontal="right" vertical="center"/>
    </xf>
    <xf numFmtId="10" fontId="8" fillId="0" borderId="0" xfId="1" applyNumberFormat="1" applyFont="1" applyAlignment="1">
      <alignment horizontal="right" vertical="center"/>
    </xf>
    <xf numFmtId="10" fontId="48" fillId="5" borderId="0" xfId="1" applyNumberFormat="1" applyFont="1" applyFill="1" applyAlignment="1">
      <alignment horizontal="right" vertical="center"/>
    </xf>
    <xf numFmtId="3" fontId="9" fillId="0" borderId="0" xfId="0" applyNumberFormat="1" applyFont="1" applyAlignment="1">
      <alignment vertical="center"/>
    </xf>
    <xf numFmtId="0" fontId="5" fillId="0" borderId="0" xfId="0" applyFont="1"/>
    <xf numFmtId="0" fontId="0" fillId="0" borderId="0" xfId="0" applyAlignment="1">
      <alignment horizontal="left" vertical="center"/>
    </xf>
    <xf numFmtId="0" fontId="49" fillId="0" borderId="0" xfId="0" applyFont="1" applyAlignment="1">
      <alignment vertical="center"/>
    </xf>
    <xf numFmtId="0" fontId="0" fillId="0" borderId="0" xfId="0" applyAlignment="1">
      <alignment horizontal="center" vertical="center"/>
    </xf>
    <xf numFmtId="0" fontId="31" fillId="0" borderId="0" xfId="0" applyFont="1" applyAlignment="1">
      <alignment vertical="center"/>
    </xf>
    <xf numFmtId="0" fontId="31" fillId="0" borderId="0" xfId="0" applyFont="1" applyAlignment="1">
      <alignment horizontal="center" vertical="center"/>
    </xf>
    <xf numFmtId="0" fontId="50" fillId="5" borderId="0" xfId="0" applyFont="1" applyFill="1" applyAlignment="1">
      <alignment vertical="center"/>
    </xf>
    <xf numFmtId="0" fontId="50" fillId="5" borderId="0" xfId="0" applyFont="1" applyFill="1" applyAlignment="1">
      <alignment horizontal="center" vertical="center"/>
    </xf>
    <xf numFmtId="0" fontId="4" fillId="0" borderId="0" xfId="0" applyFont="1"/>
    <xf numFmtId="0" fontId="51" fillId="0" borderId="0" xfId="0" applyFont="1" applyAlignment="1">
      <alignment horizontal="center" vertical="center"/>
    </xf>
    <xf numFmtId="0" fontId="52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3" fontId="8" fillId="0" borderId="0" xfId="0" applyNumberFormat="1" applyFont="1" applyAlignment="1">
      <alignment horizontal="right" vertical="center"/>
    </xf>
    <xf numFmtId="3" fontId="9" fillId="0" borderId="0" xfId="0" applyNumberFormat="1" applyFont="1" applyAlignment="1">
      <alignment horizontal="right" vertical="center"/>
    </xf>
    <xf numFmtId="0" fontId="53" fillId="0" borderId="0" xfId="0" applyFont="1"/>
    <xf numFmtId="0" fontId="48" fillId="5" borderId="0" xfId="0" applyFont="1" applyFill="1" applyAlignment="1">
      <alignment vertical="center"/>
    </xf>
    <xf numFmtId="0" fontId="48" fillId="5" borderId="0" xfId="0" applyFont="1" applyFill="1" applyAlignment="1">
      <alignment horizontal="center" vertical="center"/>
    </xf>
    <xf numFmtId="0" fontId="48" fillId="5" borderId="0" xfId="0" applyFont="1" applyFill="1" applyAlignment="1">
      <alignment horizontal="right" vertical="center"/>
    </xf>
    <xf numFmtId="0" fontId="54" fillId="5" borderId="0" xfId="0" applyFont="1" applyFill="1" applyAlignment="1">
      <alignment vertical="center"/>
    </xf>
    <xf numFmtId="0" fontId="10" fillId="5" borderId="0" xfId="0" applyFont="1" applyFill="1" applyAlignment="1">
      <alignment horizontal="right" vertical="center"/>
    </xf>
    <xf numFmtId="0" fontId="28" fillId="5" borderId="0" xfId="0" applyFont="1" applyFill="1"/>
    <xf numFmtId="10" fontId="8" fillId="5" borderId="0" xfId="1" applyNumberFormat="1" applyFont="1" applyFill="1"/>
    <xf numFmtId="0" fontId="8" fillId="5" borderId="0" xfId="0" applyFont="1" applyFill="1"/>
    <xf numFmtId="0" fontId="8" fillId="0" borderId="0" xfId="0" applyFont="1" applyAlignment="1">
      <alignment horizontal="left"/>
    </xf>
    <xf numFmtId="10" fontId="8" fillId="5" borderId="0" xfId="1" applyNumberFormat="1" applyFont="1" applyFill="1" applyAlignment="1">
      <alignment vertical="center"/>
    </xf>
    <xf numFmtId="10" fontId="48" fillId="5" borderId="0" xfId="1" applyNumberFormat="1" applyFont="1" applyFill="1" applyAlignment="1">
      <alignment vertical="center"/>
    </xf>
    <xf numFmtId="3" fontId="48" fillId="5" borderId="0" xfId="0" applyNumberFormat="1" applyFont="1" applyFill="1" applyAlignment="1">
      <alignment horizontal="right" vertical="center" wrapText="1"/>
    </xf>
    <xf numFmtId="0" fontId="8" fillId="0" borderId="0" xfId="0" applyFont="1" applyAlignment="1">
      <alignment horizontal="right" vertical="center"/>
    </xf>
    <xf numFmtId="0" fontId="6" fillId="0" borderId="0" xfId="0" applyFont="1"/>
    <xf numFmtId="10" fontId="14" fillId="0" borderId="0" xfId="0" applyNumberFormat="1" applyFont="1" applyAlignment="1">
      <alignment horizontal="right" vertical="center" wrapText="1" indent="1"/>
    </xf>
    <xf numFmtId="3" fontId="37" fillId="0" borderId="0" xfId="0" applyNumberFormat="1" applyFont="1" applyAlignment="1">
      <alignment horizontal="left" vertical="center" indent="2"/>
    </xf>
    <xf numFmtId="0" fontId="16" fillId="0" borderId="0" xfId="0" applyFont="1" applyAlignment="1">
      <alignment horizontal="right" vertical="center" wrapText="1" indent="1"/>
    </xf>
    <xf numFmtId="0" fontId="55" fillId="0" borderId="0" xfId="0" applyFont="1" applyAlignment="1">
      <alignment horizontal="center" vertical="center"/>
    </xf>
    <xf numFmtId="0" fontId="30" fillId="0" borderId="0" xfId="0" applyFont="1" applyAlignment="1">
      <alignment horizontal="center" wrapText="1"/>
    </xf>
    <xf numFmtId="3" fontId="38" fillId="0" borderId="0" xfId="0" applyNumberFormat="1" applyFont="1" applyAlignment="1">
      <alignment vertical="center"/>
    </xf>
    <xf numFmtId="0" fontId="59" fillId="0" borderId="0" xfId="0" applyFont="1" applyAlignment="1">
      <alignment vertical="center"/>
    </xf>
    <xf numFmtId="3" fontId="35" fillId="0" borderId="0" xfId="0" applyNumberFormat="1" applyFont="1" applyAlignment="1">
      <alignment horizontal="left" vertical="center" wrapText="1"/>
    </xf>
    <xf numFmtId="3" fontId="44" fillId="5" borderId="0" xfId="0" applyNumberFormat="1" applyFont="1" applyFill="1" applyAlignment="1">
      <alignment horizontal="center" vertical="center" wrapText="1"/>
    </xf>
    <xf numFmtId="3" fontId="40" fillId="5" borderId="0" xfId="0" applyNumberFormat="1" applyFont="1" applyFill="1" applyAlignment="1">
      <alignment horizontal="left" vertical="center" wrapText="1"/>
    </xf>
    <xf numFmtId="0" fontId="60" fillId="0" borderId="0" xfId="0" applyFont="1" applyAlignment="1">
      <alignment horizontal="center" vertical="center"/>
    </xf>
    <xf numFmtId="10" fontId="13" fillId="0" borderId="0" xfId="0" applyNumberFormat="1" applyFont="1" applyAlignment="1">
      <alignment horizontal="right" vertical="center" indent="1"/>
    </xf>
    <xf numFmtId="3" fontId="13" fillId="0" borderId="0" xfId="0" applyNumberFormat="1" applyFont="1" applyAlignment="1">
      <alignment horizontal="right" vertical="center" indent="1"/>
    </xf>
    <xf numFmtId="0" fontId="23" fillId="0" borderId="0" xfId="0" applyFont="1" applyAlignment="1">
      <alignment horizontal="left" vertical="center" indent="2"/>
    </xf>
    <xf numFmtId="0" fontId="11" fillId="0" borderId="0" xfId="0" applyFont="1" applyAlignment="1">
      <alignment horizontal="left" vertical="center" indent="2"/>
    </xf>
    <xf numFmtId="0" fontId="61" fillId="0" borderId="0" xfId="0" applyFont="1" applyAlignment="1">
      <alignment horizontal="center" vertical="center" wrapText="1"/>
    </xf>
    <xf numFmtId="3" fontId="62" fillId="0" borderId="0" xfId="0" applyNumberFormat="1" applyFont="1" applyAlignment="1">
      <alignment horizontal="left" vertical="center" wrapText="1" indent="1"/>
    </xf>
    <xf numFmtId="10" fontId="62" fillId="0" borderId="0" xfId="0" applyNumberFormat="1" applyFont="1" applyAlignment="1">
      <alignment horizontal="right" vertical="center" wrapText="1"/>
    </xf>
    <xf numFmtId="3" fontId="62" fillId="0" borderId="0" xfId="0" applyNumberFormat="1" applyFont="1" applyAlignment="1">
      <alignment horizontal="right" vertical="center" wrapText="1"/>
    </xf>
    <xf numFmtId="0" fontId="62" fillId="0" borderId="0" xfId="0" applyFont="1" applyAlignment="1">
      <alignment vertical="center"/>
    </xf>
    <xf numFmtId="0" fontId="62" fillId="0" borderId="0" xfId="0" applyFont="1" applyAlignment="1">
      <alignment horizontal="center" vertical="center"/>
    </xf>
    <xf numFmtId="0" fontId="63" fillId="0" borderId="0" xfId="0" applyFont="1" applyAlignment="1">
      <alignment vertical="center"/>
    </xf>
    <xf numFmtId="3" fontId="64" fillId="7" borderId="0" xfId="0" applyNumberFormat="1" applyFont="1" applyFill="1" applyAlignment="1">
      <alignment vertical="center" wrapText="1"/>
    </xf>
    <xf numFmtId="9" fontId="65" fillId="7" borderId="0" xfId="1" applyFont="1" applyFill="1" applyAlignment="1">
      <alignment vertical="center"/>
    </xf>
    <xf numFmtId="3" fontId="64" fillId="7" borderId="0" xfId="0" applyNumberFormat="1" applyFont="1" applyFill="1" applyAlignment="1">
      <alignment horizontal="right" vertical="center" wrapText="1"/>
    </xf>
    <xf numFmtId="0" fontId="65" fillId="7" borderId="0" xfId="0" applyFont="1" applyFill="1" applyAlignment="1">
      <alignment horizontal="center" vertical="center"/>
    </xf>
    <xf numFmtId="0" fontId="65" fillId="0" borderId="0" xfId="0" applyFont="1" applyAlignment="1">
      <alignment vertical="center"/>
    </xf>
    <xf numFmtId="0" fontId="9" fillId="7" borderId="0" xfId="0" applyFont="1" applyFill="1" applyAlignment="1">
      <alignment vertical="center"/>
    </xf>
    <xf numFmtId="10" fontId="9" fillId="7" borderId="0" xfId="1" applyNumberFormat="1" applyFont="1" applyFill="1" applyAlignment="1">
      <alignment horizontal="right" vertical="center"/>
    </xf>
    <xf numFmtId="0" fontId="9" fillId="7" borderId="0" xfId="0" applyFont="1" applyFill="1" applyAlignment="1">
      <alignment horizontal="center" vertical="center"/>
    </xf>
    <xf numFmtId="3" fontId="9" fillId="7" borderId="0" xfId="0" applyNumberFormat="1" applyFont="1" applyFill="1" applyAlignment="1">
      <alignment horizontal="right" vertical="center" wrapText="1"/>
    </xf>
    <xf numFmtId="0" fontId="66" fillId="0" borderId="0" xfId="0" applyFont="1" applyAlignment="1">
      <alignment horizontal="right" vertical="center"/>
    </xf>
    <xf numFmtId="0" fontId="37" fillId="7" borderId="0" xfId="0" applyFont="1" applyFill="1" applyAlignment="1">
      <alignment vertical="center"/>
    </xf>
    <xf numFmtId="10" fontId="37" fillId="7" borderId="0" xfId="1" applyNumberFormat="1" applyFont="1" applyFill="1" applyAlignment="1">
      <alignment horizontal="right" vertical="center"/>
    </xf>
    <xf numFmtId="0" fontId="66" fillId="7" borderId="0" xfId="0" applyFont="1" applyFill="1" applyAlignment="1">
      <alignment horizontal="right" vertical="center"/>
    </xf>
    <xf numFmtId="3" fontId="39" fillId="7" borderId="0" xfId="0" applyNumberFormat="1" applyFont="1" applyFill="1" applyAlignment="1">
      <alignment horizontal="right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FDA414-0FED-E645-96D9-591EA04266E7}">
  <dimension ref="B2:H43"/>
  <sheetViews>
    <sheetView topLeftCell="A25" zoomScale="114" zoomScaleNormal="114" workbookViewId="0">
      <selection activeCell="E37" sqref="E37"/>
    </sheetView>
  </sheetViews>
  <sheetFormatPr baseColWidth="10" defaultRowHeight="15" x14ac:dyDescent="0.2"/>
  <cols>
    <col min="1" max="1" width="5.5" style="7" customWidth="1"/>
    <col min="2" max="2" width="32.33203125" style="24" customWidth="1"/>
    <col min="3" max="3" width="10.83203125" style="35" customWidth="1"/>
    <col min="4" max="4" width="17.33203125" style="35" customWidth="1"/>
    <col min="5" max="5" width="11.5" style="35" customWidth="1"/>
    <col min="6" max="6" width="13.1640625" style="35" customWidth="1"/>
    <col min="7" max="7" width="48.6640625" style="12" customWidth="1"/>
    <col min="8" max="8" width="5.5" style="8" customWidth="1"/>
    <col min="9" max="9" width="12.5" style="7" customWidth="1"/>
    <col min="10" max="16384" width="10.83203125" style="7"/>
  </cols>
  <sheetData>
    <row r="2" spans="2:8" s="6" customFormat="1" ht="24" x14ac:dyDescent="0.3">
      <c r="B2" s="18" t="s">
        <v>232</v>
      </c>
      <c r="C2" s="25"/>
      <c r="D2" s="25"/>
      <c r="E2" s="25"/>
      <c r="F2" s="25"/>
      <c r="G2" s="9"/>
    </row>
    <row r="3" spans="2:8" s="6" customFormat="1" ht="24" x14ac:dyDescent="0.3">
      <c r="B3" s="19" t="s">
        <v>17</v>
      </c>
      <c r="C3" s="25"/>
      <c r="D3" s="25"/>
      <c r="E3" s="25"/>
      <c r="F3" s="25"/>
      <c r="G3" s="9"/>
    </row>
    <row r="4" spans="2:8" s="10" customFormat="1" x14ac:dyDescent="0.2">
      <c r="B4" s="20" t="s">
        <v>18</v>
      </c>
      <c r="C4" s="26"/>
      <c r="D4" s="26"/>
      <c r="E4" s="26"/>
      <c r="F4" s="26"/>
      <c r="G4" s="11"/>
    </row>
    <row r="6" spans="2:8" x14ac:dyDescent="0.2">
      <c r="B6" s="21" t="s">
        <v>220</v>
      </c>
      <c r="C6" s="27"/>
      <c r="D6" s="28" t="s">
        <v>221</v>
      </c>
      <c r="E6" s="28"/>
      <c r="F6" s="28"/>
    </row>
    <row r="7" spans="2:8" x14ac:dyDescent="0.2">
      <c r="B7" s="21" t="s">
        <v>233</v>
      </c>
      <c r="C7" s="27"/>
      <c r="D7" s="28" t="s">
        <v>222</v>
      </c>
      <c r="E7" s="28"/>
      <c r="F7" s="28"/>
    </row>
    <row r="8" spans="2:8" x14ac:dyDescent="0.2">
      <c r="B8" s="21" t="s">
        <v>234</v>
      </c>
      <c r="C8" s="27"/>
      <c r="D8" s="29">
        <v>200000000</v>
      </c>
      <c r="E8" s="29"/>
      <c r="F8" s="29"/>
    </row>
    <row r="10" spans="2:8" ht="26" customHeight="1" x14ac:dyDescent="0.2">
      <c r="B10" s="22" t="s">
        <v>224</v>
      </c>
      <c r="C10" s="30" t="s">
        <v>1</v>
      </c>
      <c r="D10" s="30" t="s">
        <v>225</v>
      </c>
      <c r="E10" s="30" t="s">
        <v>226</v>
      </c>
      <c r="F10" s="30" t="s">
        <v>227</v>
      </c>
      <c r="G10" s="13" t="s">
        <v>228</v>
      </c>
    </row>
    <row r="11" spans="2:8" s="14" customFormat="1" ht="17" customHeight="1" x14ac:dyDescent="0.2">
      <c r="B11" s="23"/>
      <c r="C11" s="31"/>
      <c r="D11" s="32"/>
      <c r="E11" s="33"/>
      <c r="F11" s="33"/>
      <c r="G11" s="15"/>
      <c r="H11" s="16"/>
    </row>
    <row r="12" spans="2:8" s="14" customFormat="1" ht="17" customHeight="1" x14ac:dyDescent="0.2">
      <c r="B12" s="23" t="s">
        <v>277</v>
      </c>
      <c r="C12" s="75">
        <f>C14+C19+C24+C31+C35+C37+C39</f>
        <v>1</v>
      </c>
      <c r="D12" s="65">
        <f>C12*D$8</f>
        <v>200000000</v>
      </c>
      <c r="E12" s="33"/>
      <c r="F12" s="33"/>
      <c r="G12" s="15"/>
      <c r="H12" s="16"/>
    </row>
    <row r="13" spans="2:8" s="14" customFormat="1" ht="17" customHeight="1" x14ac:dyDescent="0.2">
      <c r="B13" s="23"/>
      <c r="C13" s="31"/>
      <c r="D13" s="32"/>
      <c r="E13" s="33"/>
      <c r="F13" s="33"/>
      <c r="G13" s="15"/>
      <c r="H13" s="16"/>
    </row>
    <row r="14" spans="2:8" s="14" customFormat="1" ht="17" customHeight="1" x14ac:dyDescent="0.2">
      <c r="B14" s="63" t="s">
        <v>268</v>
      </c>
      <c r="C14" s="64">
        <v>0.1</v>
      </c>
      <c r="D14" s="65">
        <f>C14*D$8</f>
        <v>20000000</v>
      </c>
      <c r="E14" s="62">
        <f>F14/D14</f>
        <v>3.7499999999999999E-3</v>
      </c>
      <c r="F14" s="65">
        <f>SUM(F15:F17)</f>
        <v>75000</v>
      </c>
      <c r="G14" s="66" t="s">
        <v>269</v>
      </c>
      <c r="H14" s="16"/>
    </row>
    <row r="15" spans="2:8" s="14" customFormat="1" ht="17" customHeight="1" x14ac:dyDescent="0.2">
      <c r="B15" s="67" t="s">
        <v>475</v>
      </c>
      <c r="C15" s="68">
        <v>0.05</v>
      </c>
      <c r="D15" s="69">
        <f>C15*D$8</f>
        <v>10000000</v>
      </c>
      <c r="E15" s="14">
        <v>2.5000000000000001E-3</v>
      </c>
      <c r="F15" s="69">
        <f>D15*E15</f>
        <v>25000</v>
      </c>
      <c r="G15" s="173" t="s">
        <v>413</v>
      </c>
      <c r="H15" s="16"/>
    </row>
    <row r="16" spans="2:8" s="14" customFormat="1" ht="17" customHeight="1" x14ac:dyDescent="0.2">
      <c r="B16" s="67" t="s">
        <v>476</v>
      </c>
      <c r="C16" s="68">
        <v>2.5000000000000001E-2</v>
      </c>
      <c r="D16" s="69">
        <f>C16*D$8</f>
        <v>5000000</v>
      </c>
      <c r="E16" s="60">
        <v>4.4999999999999997E-3</v>
      </c>
      <c r="F16" s="69">
        <f t="shared" ref="F16:F17" si="0">D16*E16</f>
        <v>22500</v>
      </c>
      <c r="G16" s="173" t="s">
        <v>413</v>
      </c>
      <c r="H16" s="16"/>
    </row>
    <row r="17" spans="2:8" s="14" customFormat="1" ht="17" customHeight="1" x14ac:dyDescent="0.2">
      <c r="B17" s="67" t="s">
        <v>477</v>
      </c>
      <c r="C17" s="68">
        <v>2.5000000000000001E-2</v>
      </c>
      <c r="D17" s="69">
        <f>C17*D$8</f>
        <v>5000000</v>
      </c>
      <c r="E17" s="60">
        <v>5.4999999999999997E-3</v>
      </c>
      <c r="F17" s="69">
        <f t="shared" si="0"/>
        <v>27500</v>
      </c>
      <c r="G17" s="173" t="s">
        <v>413</v>
      </c>
      <c r="H17" s="16"/>
    </row>
    <row r="18" spans="2:8" s="14" customFormat="1" ht="17" customHeight="1" x14ac:dyDescent="0.2">
      <c r="B18" s="67"/>
      <c r="C18" s="68"/>
      <c r="D18" s="69"/>
      <c r="E18" s="60"/>
      <c r="F18" s="69"/>
      <c r="G18" s="70"/>
      <c r="H18" s="16"/>
    </row>
    <row r="19" spans="2:8" s="14" customFormat="1" ht="17" customHeight="1" x14ac:dyDescent="0.2">
      <c r="B19" s="63" t="s">
        <v>270</v>
      </c>
      <c r="C19" s="64">
        <v>0.14499999999999999</v>
      </c>
      <c r="D19" s="65">
        <f>C19*D$8</f>
        <v>28999999.999999996</v>
      </c>
      <c r="E19" s="62">
        <f>F19/D19</f>
        <v>7.5000000000000006E-3</v>
      </c>
      <c r="F19" s="65">
        <f>SUM(F20:F22)</f>
        <v>217500</v>
      </c>
      <c r="G19" s="172" t="s">
        <v>412</v>
      </c>
      <c r="H19" s="16"/>
    </row>
    <row r="20" spans="2:8" s="14" customFormat="1" ht="31" customHeight="1" x14ac:dyDescent="0.2">
      <c r="B20" s="63" t="s">
        <v>474</v>
      </c>
      <c r="C20" s="68">
        <f>30%*C19</f>
        <v>4.3499999999999997E-2</v>
      </c>
      <c r="D20" s="69">
        <f>C20*D$12</f>
        <v>8700000</v>
      </c>
      <c r="E20" s="14">
        <f>0.0065</f>
        <v>6.4999999999999997E-3</v>
      </c>
      <c r="F20" s="69">
        <f>D20*E20</f>
        <v>56550</v>
      </c>
      <c r="G20" s="173" t="s">
        <v>412</v>
      </c>
      <c r="H20" s="16"/>
    </row>
    <row r="21" spans="2:8" s="14" customFormat="1" ht="31" customHeight="1" x14ac:dyDescent="0.2">
      <c r="B21" s="63" t="s">
        <v>479</v>
      </c>
      <c r="C21" s="68">
        <f>40%*C$19</f>
        <v>5.7999999999999996E-2</v>
      </c>
      <c r="D21" s="69">
        <f>C21*D$12</f>
        <v>11600000</v>
      </c>
      <c r="E21" s="14">
        <v>7.4999999999999997E-3</v>
      </c>
      <c r="F21" s="69">
        <f>D21*E21</f>
        <v>87000</v>
      </c>
      <c r="G21" s="173" t="s">
        <v>412</v>
      </c>
      <c r="H21" s="16"/>
    </row>
    <row r="22" spans="2:8" s="14" customFormat="1" ht="31" customHeight="1" x14ac:dyDescent="0.2">
      <c r="B22" s="63" t="s">
        <v>480</v>
      </c>
      <c r="C22" s="68">
        <f>30%*C$19</f>
        <v>4.3499999999999997E-2</v>
      </c>
      <c r="D22" s="69">
        <f>C22*D$12</f>
        <v>8700000</v>
      </c>
      <c r="E22" s="14">
        <v>8.5000000000000006E-3</v>
      </c>
      <c r="F22" s="69">
        <f>D22*E22</f>
        <v>73950</v>
      </c>
      <c r="G22" s="173" t="s">
        <v>412</v>
      </c>
      <c r="H22" s="16"/>
    </row>
    <row r="23" spans="2:8" s="14" customFormat="1" ht="17" customHeight="1" x14ac:dyDescent="0.2">
      <c r="B23" s="63"/>
      <c r="C23" s="64"/>
      <c r="D23" s="65"/>
      <c r="E23" s="62"/>
      <c r="F23" s="65"/>
      <c r="G23" s="71"/>
      <c r="H23" s="16"/>
    </row>
    <row r="24" spans="2:8" s="14" customFormat="1" ht="17" customHeight="1" x14ac:dyDescent="0.2">
      <c r="B24" s="63" t="s">
        <v>271</v>
      </c>
      <c r="C24" s="64">
        <f>SUM(C25:C29)</f>
        <v>0.3</v>
      </c>
      <c r="D24" s="65">
        <f t="shared" ref="D24:D29" si="1">C24*D$8</f>
        <v>60000000</v>
      </c>
      <c r="E24" s="71"/>
      <c r="F24" s="33"/>
      <c r="G24" s="174" t="s">
        <v>415</v>
      </c>
      <c r="H24" s="16"/>
    </row>
    <row r="25" spans="2:8" s="14" customFormat="1" ht="17" customHeight="1" x14ac:dyDescent="0.2">
      <c r="B25" s="59" t="s">
        <v>274</v>
      </c>
      <c r="C25" s="34">
        <v>7.4999999999999997E-2</v>
      </c>
      <c r="D25" s="69">
        <f t="shared" si="1"/>
        <v>15000000</v>
      </c>
      <c r="E25" s="70"/>
      <c r="F25" s="33"/>
      <c r="G25" s="12" t="s">
        <v>416</v>
      </c>
      <c r="H25" s="16"/>
    </row>
    <row r="26" spans="2:8" s="14" customFormat="1" ht="17" customHeight="1" x14ac:dyDescent="0.2">
      <c r="B26" s="59" t="s">
        <v>275</v>
      </c>
      <c r="C26" s="34">
        <v>0.05</v>
      </c>
      <c r="D26" s="69">
        <f t="shared" si="1"/>
        <v>10000000</v>
      </c>
      <c r="E26" s="70"/>
      <c r="F26" s="33"/>
      <c r="G26" s="12" t="s">
        <v>417</v>
      </c>
      <c r="H26" s="16"/>
    </row>
    <row r="27" spans="2:8" s="14" customFormat="1" ht="17" customHeight="1" x14ac:dyDescent="0.2">
      <c r="B27" s="59" t="s">
        <v>276</v>
      </c>
      <c r="C27" s="34">
        <v>0.05</v>
      </c>
      <c r="D27" s="69">
        <f t="shared" si="1"/>
        <v>10000000</v>
      </c>
      <c r="E27" s="70"/>
      <c r="F27" s="33"/>
      <c r="G27" s="12" t="s">
        <v>417</v>
      </c>
      <c r="H27" s="16"/>
    </row>
    <row r="28" spans="2:8" s="14" customFormat="1" ht="17" customHeight="1" x14ac:dyDescent="0.2">
      <c r="B28" s="59" t="s">
        <v>378</v>
      </c>
      <c r="C28" s="34">
        <v>0.05</v>
      </c>
      <c r="D28" s="69">
        <f t="shared" si="1"/>
        <v>10000000</v>
      </c>
      <c r="E28" s="70"/>
      <c r="F28" s="33"/>
      <c r="G28" s="12" t="s">
        <v>417</v>
      </c>
      <c r="H28" s="16"/>
    </row>
    <row r="29" spans="2:8" s="14" customFormat="1" ht="17" customHeight="1" x14ac:dyDescent="0.2">
      <c r="B29" s="59" t="s">
        <v>377</v>
      </c>
      <c r="C29" s="34">
        <v>7.4999999999999997E-2</v>
      </c>
      <c r="D29" s="69">
        <f t="shared" si="1"/>
        <v>15000000</v>
      </c>
      <c r="E29" s="70"/>
      <c r="F29" s="33"/>
      <c r="G29" s="12" t="s">
        <v>417</v>
      </c>
      <c r="H29" s="16"/>
    </row>
    <row r="30" spans="2:8" s="14" customFormat="1" ht="17" customHeight="1" x14ac:dyDescent="0.2">
      <c r="B30" s="59"/>
      <c r="C30" s="34"/>
      <c r="D30" s="69"/>
      <c r="E30" s="70"/>
      <c r="F30" s="33"/>
      <c r="G30" s="15"/>
      <c r="H30" s="16"/>
    </row>
    <row r="31" spans="2:8" s="14" customFormat="1" ht="17" customHeight="1" x14ac:dyDescent="0.2">
      <c r="B31" s="63" t="s">
        <v>272</v>
      </c>
      <c r="C31" s="193">
        <v>0.125</v>
      </c>
      <c r="D31" s="65">
        <f>C31*D$8</f>
        <v>25000000</v>
      </c>
      <c r="E31" s="71"/>
      <c r="F31" s="33"/>
      <c r="G31" s="174" t="s">
        <v>471</v>
      </c>
      <c r="H31" s="16"/>
    </row>
    <row r="32" spans="2:8" s="14" customFormat="1" ht="17" customHeight="1" x14ac:dyDescent="0.2">
      <c r="B32" s="59" t="s">
        <v>469</v>
      </c>
      <c r="C32" s="34">
        <v>0.06</v>
      </c>
      <c r="D32" s="69">
        <f>C32*D$8</f>
        <v>12000000</v>
      </c>
      <c r="E32" s="70"/>
      <c r="F32" s="195"/>
      <c r="G32" s="196" t="s">
        <v>472</v>
      </c>
      <c r="H32" s="16"/>
    </row>
    <row r="33" spans="2:8" s="14" customFormat="1" ht="17" customHeight="1" x14ac:dyDescent="0.2">
      <c r="B33" s="59" t="s">
        <v>470</v>
      </c>
      <c r="C33" s="34">
        <f>C31-C32</f>
        <v>6.5000000000000002E-2</v>
      </c>
      <c r="D33" s="69">
        <f>C33*D$8</f>
        <v>13000000</v>
      </c>
      <c r="E33" s="70"/>
      <c r="F33" s="195"/>
      <c r="G33" s="196" t="s">
        <v>418</v>
      </c>
      <c r="H33" s="16"/>
    </row>
    <row r="34" spans="2:8" s="14" customFormat="1" ht="17" customHeight="1" x14ac:dyDescent="0.2">
      <c r="B34" s="63"/>
      <c r="C34" s="193"/>
      <c r="D34" s="65"/>
      <c r="E34" s="71"/>
      <c r="F34" s="33"/>
      <c r="G34" s="15"/>
      <c r="H34" s="16"/>
    </row>
    <row r="35" spans="2:8" s="14" customFormat="1" ht="17" customHeight="1" x14ac:dyDescent="0.2">
      <c r="B35" s="63" t="s">
        <v>273</v>
      </c>
      <c r="C35" s="193">
        <v>0.125</v>
      </c>
      <c r="D35" s="65">
        <f>C35*D$8</f>
        <v>25000000</v>
      </c>
      <c r="E35" s="71"/>
      <c r="F35" s="33"/>
      <c r="G35" s="172" t="s">
        <v>414</v>
      </c>
      <c r="H35" s="16"/>
    </row>
    <row r="36" spans="2:8" s="14" customFormat="1" ht="17" customHeight="1" x14ac:dyDescent="0.2">
      <c r="B36" s="63"/>
      <c r="C36" s="193"/>
      <c r="D36" s="65"/>
      <c r="E36" s="71"/>
      <c r="F36" s="33"/>
      <c r="G36" s="15"/>
      <c r="H36" s="16"/>
    </row>
    <row r="37" spans="2:8" s="14" customFormat="1" ht="32" customHeight="1" x14ac:dyDescent="0.2">
      <c r="B37" s="63" t="s">
        <v>483</v>
      </c>
      <c r="C37" s="193">
        <v>0.15</v>
      </c>
      <c r="D37" s="65">
        <f>C37*D$8</f>
        <v>30000000</v>
      </c>
      <c r="E37" s="71"/>
      <c r="F37" s="33"/>
      <c r="G37" s="197" t="s">
        <v>484</v>
      </c>
      <c r="H37" s="16"/>
    </row>
    <row r="38" spans="2:8" s="14" customFormat="1" ht="17" customHeight="1" x14ac:dyDescent="0.2">
      <c r="B38" s="63"/>
      <c r="C38" s="193"/>
      <c r="D38" s="65"/>
      <c r="E38" s="71"/>
      <c r="F38" s="33"/>
      <c r="G38" s="15"/>
      <c r="H38" s="16"/>
    </row>
    <row r="39" spans="2:8" s="14" customFormat="1" ht="17" customHeight="1" x14ac:dyDescent="0.2">
      <c r="B39" s="63" t="s">
        <v>481</v>
      </c>
      <c r="C39" s="193">
        <v>5.5E-2</v>
      </c>
      <c r="D39" s="65">
        <f>C39*D$8</f>
        <v>11000000</v>
      </c>
      <c r="E39" s="71"/>
      <c r="F39" s="33"/>
      <c r="G39" s="66" t="s">
        <v>482</v>
      </c>
      <c r="H39" s="16"/>
    </row>
    <row r="40" spans="2:8" s="14" customFormat="1" ht="17" customHeight="1" x14ac:dyDescent="0.2">
      <c r="B40" s="63"/>
      <c r="C40" s="64"/>
      <c r="D40" s="65"/>
      <c r="E40" s="70"/>
      <c r="F40" s="33"/>
      <c r="G40" s="15"/>
      <c r="H40" s="16"/>
    </row>
    <row r="41" spans="2:8" s="14" customFormat="1" ht="17" customHeight="1" x14ac:dyDescent="0.2">
      <c r="B41" s="72"/>
      <c r="C41" s="73"/>
      <c r="D41" s="74"/>
      <c r="E41" s="74"/>
      <c r="F41" s="74"/>
      <c r="G41" s="74"/>
      <c r="H41" s="16"/>
    </row>
    <row r="42" spans="2:8" s="14" customFormat="1" ht="17" customHeight="1" x14ac:dyDescent="0.2">
      <c r="B42" s="23"/>
      <c r="C42" s="31"/>
      <c r="D42" s="32"/>
      <c r="E42" s="33"/>
      <c r="F42" s="33"/>
      <c r="G42" s="15"/>
      <c r="H42" s="16"/>
    </row>
    <row r="43" spans="2:8" x14ac:dyDescent="0.2">
      <c r="B43" s="194" t="s">
        <v>478</v>
      </c>
    </row>
  </sheetData>
  <pageMargins left="0.7" right="0.7" top="0.75" bottom="0.75" header="0.3" footer="0.3"/>
  <pageSetup paperSize="8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E96580-5F1A-FE41-8532-2F95120FD7FC}">
  <dimension ref="B2:H42"/>
  <sheetViews>
    <sheetView tabSelected="1" topLeftCell="A11" zoomScale="114" zoomScaleNormal="114" workbookViewId="0">
      <selection activeCell="F24" sqref="F24"/>
    </sheetView>
  </sheetViews>
  <sheetFormatPr baseColWidth="10" defaultRowHeight="15" x14ac:dyDescent="0.2"/>
  <cols>
    <col min="1" max="1" width="5.5" style="7" customWidth="1"/>
    <col min="2" max="2" width="32.33203125" style="24" customWidth="1"/>
    <col min="3" max="3" width="10.83203125" style="35" customWidth="1"/>
    <col min="4" max="4" width="19.33203125" style="35" customWidth="1"/>
    <col min="5" max="5" width="11.5" style="35" customWidth="1"/>
    <col min="6" max="6" width="13.1640625" style="35" customWidth="1"/>
    <col min="7" max="7" width="48.6640625" style="12" customWidth="1"/>
    <col min="8" max="8" width="5.5" style="8" customWidth="1"/>
    <col min="9" max="9" width="12.5" style="7" customWidth="1"/>
    <col min="10" max="16384" width="10.83203125" style="7"/>
  </cols>
  <sheetData>
    <row r="2" spans="2:8" s="207" customFormat="1" ht="35" customHeight="1" x14ac:dyDescent="0.2">
      <c r="B2" s="206" t="s">
        <v>232</v>
      </c>
    </row>
    <row r="3" spans="2:8" s="6" customFormat="1" ht="24" x14ac:dyDescent="0.3">
      <c r="B3" s="19" t="s">
        <v>17</v>
      </c>
      <c r="C3" s="25"/>
      <c r="D3" s="25"/>
      <c r="E3" s="25"/>
      <c r="F3" s="25"/>
      <c r="G3" s="9"/>
    </row>
    <row r="4" spans="2:8" s="10" customFormat="1" x14ac:dyDescent="0.2">
      <c r="B4" s="20" t="s">
        <v>18</v>
      </c>
      <c r="C4" s="26"/>
      <c r="D4" s="26"/>
      <c r="E4" s="26"/>
      <c r="F4" s="26"/>
      <c r="G4" s="11"/>
    </row>
    <row r="6" spans="2:8" x14ac:dyDescent="0.2">
      <c r="B6" s="21" t="s">
        <v>220</v>
      </c>
      <c r="C6" s="27"/>
      <c r="D6" s="28" t="s">
        <v>221</v>
      </c>
      <c r="E6" s="28"/>
      <c r="F6" s="28"/>
    </row>
    <row r="7" spans="2:8" x14ac:dyDescent="0.2">
      <c r="B7" s="21" t="s">
        <v>233</v>
      </c>
      <c r="C7" s="27"/>
      <c r="D7" s="28" t="s">
        <v>222</v>
      </c>
      <c r="E7" s="28"/>
      <c r="F7" s="28"/>
    </row>
    <row r="8" spans="2:8" x14ac:dyDescent="0.2">
      <c r="B8" s="21" t="s">
        <v>234</v>
      </c>
      <c r="C8" s="27"/>
      <c r="D8" s="29">
        <v>200000000</v>
      </c>
      <c r="E8" s="29"/>
      <c r="F8" s="29"/>
    </row>
    <row r="9" spans="2:8" x14ac:dyDescent="0.2">
      <c r="C9" s="204"/>
      <c r="D9" s="205"/>
      <c r="F9" s="205"/>
    </row>
    <row r="10" spans="2:8" ht="26" customHeight="1" x14ac:dyDescent="0.2">
      <c r="B10" s="22" t="s">
        <v>224</v>
      </c>
      <c r="C10" s="30" t="s">
        <v>1</v>
      </c>
      <c r="D10" s="30" t="s">
        <v>225</v>
      </c>
      <c r="E10" s="30" t="s">
        <v>226</v>
      </c>
      <c r="F10" s="30" t="s">
        <v>227</v>
      </c>
      <c r="G10" s="13" t="s">
        <v>228</v>
      </c>
    </row>
    <row r="11" spans="2:8" s="14" customFormat="1" ht="17" customHeight="1" x14ac:dyDescent="0.2">
      <c r="B11" s="23"/>
      <c r="C11" s="31"/>
      <c r="D11" s="32"/>
      <c r="E11" s="33"/>
      <c r="F11" s="33"/>
      <c r="G11" s="15"/>
      <c r="H11" s="16"/>
    </row>
    <row r="12" spans="2:8" s="14" customFormat="1" ht="17" customHeight="1" x14ac:dyDescent="0.2">
      <c r="B12" s="23" t="s">
        <v>277</v>
      </c>
      <c r="C12" s="75">
        <f>C14+C19+C24+C31+C34+C36+C38</f>
        <v>1</v>
      </c>
      <c r="D12" s="65">
        <f>C12*D$8</f>
        <v>200000000</v>
      </c>
      <c r="E12" s="33"/>
      <c r="F12" s="33"/>
      <c r="G12" s="15"/>
      <c r="H12" s="16"/>
    </row>
    <row r="13" spans="2:8" s="14" customFormat="1" ht="17" customHeight="1" x14ac:dyDescent="0.2">
      <c r="B13" s="23"/>
      <c r="C13" s="31"/>
      <c r="D13" s="32"/>
      <c r="E13" s="33"/>
      <c r="F13" s="33"/>
      <c r="G13" s="15"/>
      <c r="H13" s="16"/>
    </row>
    <row r="14" spans="2:8" s="14" customFormat="1" ht="17" customHeight="1" x14ac:dyDescent="0.2">
      <c r="B14" s="63" t="s">
        <v>268</v>
      </c>
      <c r="C14" s="64">
        <v>0.1</v>
      </c>
      <c r="D14" s="65">
        <f>C14*D$8</f>
        <v>20000000</v>
      </c>
      <c r="E14" s="62">
        <f>F14/D14</f>
        <v>3.7499999999999999E-3</v>
      </c>
      <c r="F14" s="65">
        <f>SUM(F15:F17)</f>
        <v>75000</v>
      </c>
      <c r="G14" s="66" t="s">
        <v>269</v>
      </c>
      <c r="H14" s="16"/>
    </row>
    <row r="15" spans="2:8" s="14" customFormat="1" ht="17" customHeight="1" x14ac:dyDescent="0.2">
      <c r="B15" s="67" t="s">
        <v>475</v>
      </c>
      <c r="C15" s="68">
        <v>0.05</v>
      </c>
      <c r="D15" s="69">
        <f>C15*D$8</f>
        <v>10000000</v>
      </c>
      <c r="E15" s="14">
        <v>2.5000000000000001E-3</v>
      </c>
      <c r="F15" s="69">
        <f>D15*E15</f>
        <v>25000</v>
      </c>
      <c r="G15" s="173" t="s">
        <v>413</v>
      </c>
      <c r="H15" s="16"/>
    </row>
    <row r="16" spans="2:8" s="14" customFormat="1" ht="17" customHeight="1" x14ac:dyDescent="0.2">
      <c r="B16" s="67" t="s">
        <v>476</v>
      </c>
      <c r="C16" s="68">
        <v>2.5000000000000001E-2</v>
      </c>
      <c r="D16" s="69">
        <f>C16*D$8</f>
        <v>5000000</v>
      </c>
      <c r="E16" s="60">
        <v>4.4999999999999997E-3</v>
      </c>
      <c r="F16" s="69">
        <f t="shared" ref="F16:F17" si="0">D16*E16</f>
        <v>22500</v>
      </c>
      <c r="G16" s="173" t="s">
        <v>413</v>
      </c>
      <c r="H16" s="16"/>
    </row>
    <row r="17" spans="2:8" s="14" customFormat="1" ht="17" customHeight="1" x14ac:dyDescent="0.2">
      <c r="B17" s="67" t="s">
        <v>477</v>
      </c>
      <c r="C17" s="68">
        <v>2.5000000000000001E-2</v>
      </c>
      <c r="D17" s="69">
        <f>C17*D$8</f>
        <v>5000000</v>
      </c>
      <c r="E17" s="60">
        <v>5.4999999999999997E-3</v>
      </c>
      <c r="F17" s="69">
        <f t="shared" si="0"/>
        <v>27500</v>
      </c>
      <c r="G17" s="173" t="s">
        <v>413</v>
      </c>
      <c r="H17" s="16"/>
    </row>
    <row r="18" spans="2:8" s="14" customFormat="1" ht="17" customHeight="1" x14ac:dyDescent="0.2">
      <c r="B18" s="67"/>
      <c r="C18" s="68"/>
      <c r="D18" s="69"/>
      <c r="E18" s="60"/>
      <c r="F18" s="69"/>
      <c r="G18" s="70"/>
      <c r="H18" s="16"/>
    </row>
    <row r="19" spans="2:8" s="14" customFormat="1" ht="17" customHeight="1" x14ac:dyDescent="0.2">
      <c r="B19" s="209" t="s">
        <v>270</v>
      </c>
      <c r="C19" s="210">
        <f>14.5%+7%</f>
        <v>0.215</v>
      </c>
      <c r="D19" s="211">
        <f>C19*D$8</f>
        <v>43000000</v>
      </c>
      <c r="E19" s="212">
        <f>F19/D19</f>
        <v>7.4999999999999997E-3</v>
      </c>
      <c r="F19" s="211">
        <f>SUM(F20:F22)</f>
        <v>322500</v>
      </c>
      <c r="G19" s="213" t="s">
        <v>412</v>
      </c>
      <c r="H19" s="16"/>
    </row>
    <row r="20" spans="2:8" s="14" customFormat="1" ht="31" customHeight="1" x14ac:dyDescent="0.2">
      <c r="B20" s="63" t="s">
        <v>474</v>
      </c>
      <c r="C20" s="68">
        <f>30%*C19</f>
        <v>6.4500000000000002E-2</v>
      </c>
      <c r="D20" s="69">
        <f>C20*D$12</f>
        <v>12900000</v>
      </c>
      <c r="E20" s="14">
        <f>0.0065</f>
        <v>6.4999999999999997E-3</v>
      </c>
      <c r="F20" s="69">
        <f>D20*E20</f>
        <v>83850</v>
      </c>
      <c r="G20" s="173" t="s">
        <v>412</v>
      </c>
      <c r="H20" s="16"/>
    </row>
    <row r="21" spans="2:8" s="14" customFormat="1" ht="31" customHeight="1" x14ac:dyDescent="0.2">
      <c r="B21" s="63" t="s">
        <v>479</v>
      </c>
      <c r="C21" s="68">
        <f>40%*C$19</f>
        <v>8.6000000000000007E-2</v>
      </c>
      <c r="D21" s="69">
        <f>C21*D$12</f>
        <v>17200000</v>
      </c>
      <c r="E21" s="14">
        <v>7.4999999999999997E-3</v>
      </c>
      <c r="F21" s="69">
        <f>D21*E21</f>
        <v>129000</v>
      </c>
      <c r="G21" s="173" t="s">
        <v>412</v>
      </c>
      <c r="H21" s="16"/>
    </row>
    <row r="22" spans="2:8" s="14" customFormat="1" ht="31" customHeight="1" x14ac:dyDescent="0.2">
      <c r="B22" s="63" t="s">
        <v>480</v>
      </c>
      <c r="C22" s="68">
        <f>30%*C$19</f>
        <v>6.4500000000000002E-2</v>
      </c>
      <c r="D22" s="69">
        <f>C22*D$12</f>
        <v>12900000</v>
      </c>
      <c r="E22" s="14">
        <v>8.5000000000000006E-3</v>
      </c>
      <c r="F22" s="69">
        <f>D22*E22</f>
        <v>109650.00000000001</v>
      </c>
      <c r="G22" s="173" t="s">
        <v>412</v>
      </c>
      <c r="H22" s="16"/>
    </row>
    <row r="23" spans="2:8" s="14" customFormat="1" ht="17" customHeight="1" x14ac:dyDescent="0.2">
      <c r="B23" s="63"/>
      <c r="C23" s="64"/>
      <c r="D23" s="65"/>
      <c r="E23" s="62"/>
      <c r="F23" s="65"/>
      <c r="G23" s="71"/>
      <c r="H23" s="16"/>
    </row>
    <row r="24" spans="2:8" s="14" customFormat="1" ht="17" customHeight="1" x14ac:dyDescent="0.2">
      <c r="B24" s="63" t="s">
        <v>271</v>
      </c>
      <c r="C24" s="64">
        <f>SUM(C25:C29)</f>
        <v>0.3</v>
      </c>
      <c r="D24" s="65">
        <f t="shared" ref="D24:D29" si="1">C24*D$8</f>
        <v>60000000</v>
      </c>
      <c r="E24" s="71"/>
      <c r="F24" s="33"/>
      <c r="G24" s="174" t="s">
        <v>415</v>
      </c>
      <c r="H24" s="16"/>
    </row>
    <row r="25" spans="2:8" s="14" customFormat="1" ht="17" customHeight="1" x14ac:dyDescent="0.2">
      <c r="B25" s="59" t="s">
        <v>274</v>
      </c>
      <c r="C25" s="34">
        <v>7.4999999999999997E-2</v>
      </c>
      <c r="D25" s="69">
        <f t="shared" si="1"/>
        <v>15000000</v>
      </c>
      <c r="E25" s="70"/>
      <c r="F25" s="33"/>
      <c r="G25" s="12" t="s">
        <v>416</v>
      </c>
      <c r="H25" s="16"/>
    </row>
    <row r="26" spans="2:8" s="14" customFormat="1" ht="17" customHeight="1" x14ac:dyDescent="0.2">
      <c r="B26" s="59" t="s">
        <v>275</v>
      </c>
      <c r="C26" s="34">
        <v>0.05</v>
      </c>
      <c r="D26" s="69">
        <f t="shared" si="1"/>
        <v>10000000</v>
      </c>
      <c r="E26" s="70"/>
      <c r="F26" s="33"/>
      <c r="G26" s="12" t="s">
        <v>417</v>
      </c>
      <c r="H26" s="16"/>
    </row>
    <row r="27" spans="2:8" s="14" customFormat="1" ht="17" customHeight="1" x14ac:dyDescent="0.2">
      <c r="B27" s="59" t="s">
        <v>276</v>
      </c>
      <c r="C27" s="34">
        <v>0.05</v>
      </c>
      <c r="D27" s="69">
        <f t="shared" si="1"/>
        <v>10000000</v>
      </c>
      <c r="E27" s="70"/>
      <c r="F27" s="33"/>
      <c r="G27" s="12" t="s">
        <v>417</v>
      </c>
      <c r="H27" s="16"/>
    </row>
    <row r="28" spans="2:8" s="14" customFormat="1" ht="17" customHeight="1" x14ac:dyDescent="0.2">
      <c r="B28" s="59" t="s">
        <v>378</v>
      </c>
      <c r="C28" s="34">
        <v>0.05</v>
      </c>
      <c r="D28" s="69">
        <f t="shared" si="1"/>
        <v>10000000</v>
      </c>
      <c r="E28" s="70"/>
      <c r="F28" s="33"/>
      <c r="G28" s="12" t="s">
        <v>417</v>
      </c>
      <c r="H28" s="16"/>
    </row>
    <row r="29" spans="2:8" s="14" customFormat="1" ht="17" customHeight="1" x14ac:dyDescent="0.2">
      <c r="B29" s="59" t="s">
        <v>377</v>
      </c>
      <c r="C29" s="34">
        <v>7.4999999999999997E-2</v>
      </c>
      <c r="D29" s="69">
        <f t="shared" si="1"/>
        <v>15000000</v>
      </c>
      <c r="E29" s="70"/>
      <c r="F29" s="33"/>
      <c r="G29" s="12" t="s">
        <v>417</v>
      </c>
      <c r="H29" s="16"/>
    </row>
    <row r="30" spans="2:8" s="14" customFormat="1" ht="17" customHeight="1" x14ac:dyDescent="0.2">
      <c r="B30" s="59"/>
      <c r="C30" s="34"/>
      <c r="D30" s="69"/>
      <c r="E30" s="70"/>
      <c r="F30" s="33"/>
      <c r="G30" s="15"/>
      <c r="H30" s="16"/>
    </row>
    <row r="31" spans="2:8" s="14" customFormat="1" ht="17" customHeight="1" x14ac:dyDescent="0.2">
      <c r="B31" s="63" t="s">
        <v>272</v>
      </c>
      <c r="C31" s="193">
        <v>0.06</v>
      </c>
      <c r="D31" s="65">
        <f>C31*D$8</f>
        <v>12000000</v>
      </c>
      <c r="E31" s="208" t="s">
        <v>490</v>
      </c>
      <c r="F31" s="208"/>
      <c r="G31" s="203" t="s">
        <v>472</v>
      </c>
      <c r="H31" s="16"/>
    </row>
    <row r="32" spans="2:8" s="14" customFormat="1" ht="17" customHeight="1" x14ac:dyDescent="0.2">
      <c r="B32" s="59" t="s">
        <v>489</v>
      </c>
      <c r="C32" s="34"/>
      <c r="D32" s="69"/>
      <c r="E32" s="70"/>
      <c r="F32" s="195"/>
      <c r="G32" s="196"/>
      <c r="H32" s="16"/>
    </row>
    <row r="33" spans="2:8" s="14" customFormat="1" ht="17" customHeight="1" x14ac:dyDescent="0.2">
      <c r="B33" s="63"/>
      <c r="C33" s="193"/>
      <c r="D33" s="65"/>
      <c r="E33" s="71"/>
      <c r="F33" s="33"/>
      <c r="G33" s="15"/>
      <c r="H33" s="16"/>
    </row>
    <row r="34" spans="2:8" s="14" customFormat="1" ht="17" customHeight="1" x14ac:dyDescent="0.2">
      <c r="B34" s="63" t="s">
        <v>273</v>
      </c>
      <c r="C34" s="193">
        <v>0.125</v>
      </c>
      <c r="D34" s="65">
        <f>C34*D$8</f>
        <v>25000000</v>
      </c>
      <c r="E34" s="71"/>
      <c r="F34" s="33"/>
      <c r="G34" s="172" t="s">
        <v>414</v>
      </c>
      <c r="H34" s="16"/>
    </row>
    <row r="35" spans="2:8" s="14" customFormat="1" ht="17" customHeight="1" x14ac:dyDescent="0.2">
      <c r="B35" s="63"/>
      <c r="C35" s="193"/>
      <c r="D35" s="65"/>
      <c r="E35" s="71"/>
      <c r="F35" s="33"/>
      <c r="G35" s="15"/>
      <c r="H35" s="16"/>
    </row>
    <row r="36" spans="2:8" s="14" customFormat="1" ht="32" customHeight="1" x14ac:dyDescent="0.2">
      <c r="B36" s="63" t="s">
        <v>483</v>
      </c>
      <c r="C36" s="193">
        <v>0.15</v>
      </c>
      <c r="D36" s="65">
        <f>C36*D$8</f>
        <v>30000000</v>
      </c>
      <c r="E36" s="71"/>
      <c r="F36" s="33"/>
      <c r="G36" s="197" t="s">
        <v>484</v>
      </c>
      <c r="H36" s="16"/>
    </row>
    <row r="37" spans="2:8" s="14" customFormat="1" ht="17" customHeight="1" x14ac:dyDescent="0.2">
      <c r="B37" s="63"/>
      <c r="C37" s="193"/>
      <c r="D37" s="65"/>
      <c r="E37" s="71"/>
      <c r="F37" s="33"/>
      <c r="G37" s="15"/>
      <c r="H37" s="16"/>
    </row>
    <row r="38" spans="2:8" s="14" customFormat="1" ht="17" customHeight="1" x14ac:dyDescent="0.2">
      <c r="B38" s="63" t="s">
        <v>481</v>
      </c>
      <c r="C38" s="193">
        <v>0.05</v>
      </c>
      <c r="D38" s="65">
        <f>C38*D$8</f>
        <v>10000000</v>
      </c>
      <c r="E38" s="208" t="s">
        <v>491</v>
      </c>
      <c r="F38" s="208"/>
      <c r="G38" s="66" t="s">
        <v>482</v>
      </c>
      <c r="H38" s="16"/>
    </row>
    <row r="39" spans="2:8" s="14" customFormat="1" ht="17" customHeight="1" x14ac:dyDescent="0.2">
      <c r="B39" s="63"/>
      <c r="C39" s="64"/>
      <c r="D39" s="65"/>
      <c r="E39" s="70"/>
      <c r="F39" s="33"/>
      <c r="G39" s="15"/>
      <c r="H39" s="16"/>
    </row>
    <row r="40" spans="2:8" s="14" customFormat="1" ht="17" customHeight="1" x14ac:dyDescent="0.2">
      <c r="B40" s="72"/>
      <c r="C40" s="73"/>
      <c r="D40" s="74"/>
      <c r="E40" s="74"/>
      <c r="F40" s="74"/>
      <c r="G40" s="74"/>
      <c r="H40" s="16"/>
    </row>
    <row r="41" spans="2:8" s="14" customFormat="1" ht="17" customHeight="1" x14ac:dyDescent="0.2">
      <c r="B41" s="23"/>
      <c r="C41" s="31"/>
      <c r="D41" s="32"/>
      <c r="E41" s="33"/>
      <c r="F41" s="33"/>
      <c r="G41" s="15"/>
      <c r="H41" s="16"/>
    </row>
    <row r="42" spans="2:8" x14ac:dyDescent="0.2">
      <c r="B42" s="194" t="s">
        <v>478</v>
      </c>
    </row>
  </sheetData>
  <mergeCells count="2">
    <mergeCell ref="E31:F31"/>
    <mergeCell ref="E38:F38"/>
  </mergeCells>
  <pageMargins left="0.7" right="0.7" top="0.75" bottom="0.75" header="0.3" footer="0.3"/>
  <pageSetup paperSize="8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E795A8-8979-A544-82B9-4BDBE438386D}">
  <dimension ref="B1:G29"/>
  <sheetViews>
    <sheetView topLeftCell="A8" zoomScale="135" zoomScaleNormal="135" workbookViewId="0">
      <selection activeCell="C21" sqref="C21"/>
    </sheetView>
  </sheetViews>
  <sheetFormatPr baseColWidth="10" defaultRowHeight="16" x14ac:dyDescent="0.2"/>
  <cols>
    <col min="1" max="1" width="10.83203125" style="114"/>
    <col min="2" max="2" width="25.1640625" style="114" customWidth="1"/>
    <col min="3" max="6" width="10.83203125" style="114"/>
    <col min="7" max="7" width="33" style="114" customWidth="1"/>
    <col min="8" max="16384" width="10.83203125" style="114"/>
  </cols>
  <sheetData>
    <row r="1" spans="2:7" ht="15" customHeight="1" x14ac:dyDescent="0.2"/>
    <row r="2" spans="2:7" ht="25" customHeight="1" x14ac:dyDescent="0.2">
      <c r="B2" s="125" t="s">
        <v>357</v>
      </c>
    </row>
    <row r="3" spans="2:7" ht="13" customHeight="1" x14ac:dyDescent="0.2"/>
    <row r="4" spans="2:7" s="118" customFormat="1" ht="22" customHeight="1" x14ac:dyDescent="0.2">
      <c r="B4" s="103" t="s">
        <v>353</v>
      </c>
      <c r="C4" s="115" t="s">
        <v>1</v>
      </c>
      <c r="D4" s="116" t="s">
        <v>345</v>
      </c>
      <c r="E4" s="117" t="s">
        <v>355</v>
      </c>
      <c r="F4" s="117" t="s">
        <v>356</v>
      </c>
      <c r="G4" s="106" t="s">
        <v>284</v>
      </c>
    </row>
    <row r="5" spans="2:7" s="118" customFormat="1" ht="16" customHeight="1" x14ac:dyDescent="0.2">
      <c r="B5" s="101" t="s">
        <v>354</v>
      </c>
      <c r="C5" s="107">
        <v>0.1</v>
      </c>
      <c r="D5" s="108">
        <f>SUM(D6:D8)</f>
        <v>20000000</v>
      </c>
      <c r="E5" s="109">
        <f>F5/D5</f>
        <v>3.7499999999999999E-3</v>
      </c>
      <c r="F5" s="108">
        <f>SUM(F6:F8)</f>
        <v>75000</v>
      </c>
      <c r="G5" s="110"/>
    </row>
    <row r="6" spans="2:7" s="118" customFormat="1" ht="16" customHeight="1" x14ac:dyDescent="0.2">
      <c r="B6" s="99" t="s">
        <v>369</v>
      </c>
      <c r="C6" s="111">
        <v>0.05</v>
      </c>
      <c r="D6" s="100">
        <v>10000000</v>
      </c>
      <c r="E6" s="94">
        <v>2.5000000000000001E-3</v>
      </c>
      <c r="F6" s="100">
        <f>D6*E6</f>
        <v>25000</v>
      </c>
      <c r="G6" s="112" t="s">
        <v>347</v>
      </c>
    </row>
    <row r="7" spans="2:7" s="118" customFormat="1" ht="16" customHeight="1" x14ac:dyDescent="0.2">
      <c r="B7" s="99" t="s">
        <v>370</v>
      </c>
      <c r="C7" s="111">
        <v>2.5000000000000001E-2</v>
      </c>
      <c r="D7" s="100">
        <v>5000000</v>
      </c>
      <c r="E7" s="113">
        <v>4.4999999999999997E-3</v>
      </c>
      <c r="F7" s="100">
        <f t="shared" ref="F7:F8" si="0">D7*E7</f>
        <v>22500</v>
      </c>
      <c r="G7" s="112" t="s">
        <v>348</v>
      </c>
    </row>
    <row r="8" spans="2:7" s="118" customFormat="1" ht="16" customHeight="1" x14ac:dyDescent="0.2">
      <c r="B8" s="99" t="s">
        <v>371</v>
      </c>
      <c r="C8" s="111">
        <v>2.5000000000000001E-2</v>
      </c>
      <c r="D8" s="100">
        <v>5000000</v>
      </c>
      <c r="E8" s="113">
        <v>5.4999999999999997E-3</v>
      </c>
      <c r="F8" s="100">
        <f t="shared" si="0"/>
        <v>27500</v>
      </c>
      <c r="G8" s="112" t="s">
        <v>349</v>
      </c>
    </row>
    <row r="9" spans="2:7" ht="20" customHeight="1" x14ac:dyDescent="0.2">
      <c r="B9" s="201" t="s">
        <v>358</v>
      </c>
      <c r="C9" s="201"/>
      <c r="D9" s="201"/>
      <c r="E9" s="201"/>
      <c r="F9" s="201"/>
      <c r="G9" s="201"/>
    </row>
    <row r="10" spans="2:7" ht="16" customHeight="1" x14ac:dyDescent="0.2">
      <c r="B10" s="97"/>
      <c r="C10" s="68"/>
      <c r="D10" s="69"/>
      <c r="E10" s="105"/>
      <c r="F10" s="69"/>
      <c r="G10" s="98"/>
    </row>
    <row r="11" spans="2:7" s="118" customFormat="1" ht="22" customHeight="1" x14ac:dyDescent="0.2">
      <c r="B11" s="202" t="s">
        <v>350</v>
      </c>
      <c r="C11" s="202"/>
      <c r="D11" s="202"/>
      <c r="E11" s="119"/>
      <c r="F11" s="120"/>
      <c r="G11" s="120"/>
    </row>
    <row r="12" spans="2:7" s="118" customFormat="1" ht="15" customHeight="1" x14ac:dyDescent="0.2">
      <c r="B12" s="102" t="s">
        <v>351</v>
      </c>
      <c r="C12" s="102"/>
      <c r="D12" s="102"/>
      <c r="E12" s="121">
        <f>SUM(E13:E16)</f>
        <v>1</v>
      </c>
      <c r="F12" s="122">
        <f>F5</f>
        <v>75000</v>
      </c>
      <c r="G12" s="123"/>
    </row>
    <row r="13" spans="2:7" s="118" customFormat="1" ht="18" customHeight="1" x14ac:dyDescent="0.2">
      <c r="B13" s="200" t="s">
        <v>492</v>
      </c>
      <c r="C13" s="200"/>
      <c r="D13" s="200"/>
      <c r="E13" s="124">
        <v>0.6</v>
      </c>
      <c r="F13" s="100">
        <f>E13*F12</f>
        <v>45000</v>
      </c>
    </row>
    <row r="14" spans="2:7" s="118" customFormat="1" ht="18" customHeight="1" x14ac:dyDescent="0.2">
      <c r="B14" s="200" t="s">
        <v>493</v>
      </c>
      <c r="C14" s="200"/>
      <c r="D14" s="200"/>
      <c r="E14" s="124">
        <v>0.2</v>
      </c>
      <c r="F14" s="100">
        <f>E14*F12</f>
        <v>15000</v>
      </c>
    </row>
    <row r="15" spans="2:7" s="214" customFormat="1" ht="18" customHeight="1" x14ac:dyDescent="0.2">
      <c r="B15" s="215" t="s">
        <v>494</v>
      </c>
      <c r="C15" s="215"/>
      <c r="D15" s="215"/>
      <c r="E15" s="216">
        <v>0.2</v>
      </c>
      <c r="F15" s="217">
        <f>E15*F12</f>
        <v>15000</v>
      </c>
      <c r="G15" s="218" t="s">
        <v>495</v>
      </c>
    </row>
    <row r="16" spans="2:7" s="118" customFormat="1" ht="18" customHeight="1" x14ac:dyDescent="0.2">
      <c r="B16" s="99" t="s">
        <v>352</v>
      </c>
      <c r="C16" s="99"/>
      <c r="D16" s="99"/>
      <c r="E16" s="124"/>
      <c r="F16" s="100"/>
    </row>
    <row r="17" spans="2:7" s="118" customFormat="1" ht="15" customHeight="1" x14ac:dyDescent="0.2">
      <c r="B17" s="101"/>
      <c r="C17" s="101"/>
      <c r="D17" s="101"/>
    </row>
    <row r="18" spans="2:7" s="118" customFormat="1" ht="12" customHeight="1" x14ac:dyDescent="0.2">
      <c r="B18" s="202"/>
      <c r="C18" s="202"/>
      <c r="D18" s="202"/>
      <c r="E18" s="119"/>
      <c r="F18" s="120"/>
      <c r="G18" s="120"/>
    </row>
    <row r="19" spans="2:7" x14ac:dyDescent="0.2">
      <c r="B19" s="118"/>
      <c r="E19" s="124"/>
      <c r="F19" s="198"/>
    </row>
    <row r="20" spans="2:7" x14ac:dyDescent="0.2">
      <c r="B20" s="118" t="s">
        <v>487</v>
      </c>
      <c r="E20" s="124"/>
      <c r="F20" s="198">
        <f>'PUBLIC-SALE'!F12</f>
        <v>322500</v>
      </c>
    </row>
    <row r="21" spans="2:7" x14ac:dyDescent="0.2">
      <c r="B21" s="118" t="s">
        <v>486</v>
      </c>
      <c r="E21" s="124">
        <v>0.4</v>
      </c>
      <c r="F21" s="198">
        <f>E21*F20</f>
        <v>129000</v>
      </c>
      <c r="G21" s="198">
        <f>F20-F21</f>
        <v>193500</v>
      </c>
    </row>
    <row r="23" spans="2:7" x14ac:dyDescent="0.2">
      <c r="B23" s="199" t="s">
        <v>488</v>
      </c>
      <c r="F23" s="198">
        <f>STADIUM!F21</f>
        <v>150000</v>
      </c>
    </row>
    <row r="24" spans="2:7" x14ac:dyDescent="0.2">
      <c r="B24" s="118" t="s">
        <v>486</v>
      </c>
      <c r="E24" s="124">
        <v>0.3</v>
      </c>
      <c r="F24" s="198">
        <f>E24*F23</f>
        <v>45000</v>
      </c>
      <c r="G24" s="198">
        <f>F23-F24</f>
        <v>105000</v>
      </c>
    </row>
    <row r="26" spans="2:7" x14ac:dyDescent="0.2">
      <c r="B26" s="118" t="s">
        <v>338</v>
      </c>
      <c r="F26" s="198">
        <f>MYSTERY!C19+MYSTERY!D19+MYSTERY!E19</f>
        <v>3237000</v>
      </c>
    </row>
    <row r="27" spans="2:7" x14ac:dyDescent="0.2">
      <c r="B27" s="118" t="s">
        <v>486</v>
      </c>
      <c r="E27" s="124">
        <v>0.35</v>
      </c>
      <c r="F27" s="198">
        <f>E27*F26</f>
        <v>1132950</v>
      </c>
      <c r="G27" s="198">
        <f>F26-F27</f>
        <v>2104050</v>
      </c>
    </row>
    <row r="29" spans="2:7" x14ac:dyDescent="0.2">
      <c r="G29" s="198">
        <f>SUM(G19:G27)</f>
        <v>2402550</v>
      </c>
    </row>
  </sheetData>
  <mergeCells count="5">
    <mergeCell ref="B18:D18"/>
    <mergeCell ref="B14:D14"/>
    <mergeCell ref="B9:G9"/>
    <mergeCell ref="B11:D11"/>
    <mergeCell ref="B13:D13"/>
  </mergeCells>
  <pageMargins left="0.7" right="0.7" top="0.75" bottom="0.75" header="0.3" footer="0.3"/>
  <pageSetup paperSize="8"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030E65-E91B-ED48-BE37-E640DF0CAA5D}">
  <dimension ref="B1:G18"/>
  <sheetViews>
    <sheetView topLeftCell="A8" zoomScale="135" zoomScaleNormal="135" workbookViewId="0">
      <selection activeCell="C20" sqref="C20"/>
    </sheetView>
  </sheetViews>
  <sheetFormatPr baseColWidth="10" defaultRowHeight="16" x14ac:dyDescent="0.2"/>
  <cols>
    <col min="1" max="1" width="10.83203125" style="114"/>
    <col min="2" max="2" width="37" style="114" customWidth="1"/>
    <col min="3" max="6" width="10.83203125" style="114"/>
    <col min="7" max="7" width="33" style="114" customWidth="1"/>
    <col min="8" max="16384" width="10.83203125" style="114"/>
  </cols>
  <sheetData>
    <row r="1" spans="2:7" ht="15" customHeight="1" x14ac:dyDescent="0.2"/>
    <row r="2" spans="2:7" ht="25" customHeight="1" x14ac:dyDescent="0.2">
      <c r="B2" s="156" t="s">
        <v>357</v>
      </c>
    </row>
    <row r="3" spans="2:7" ht="13" customHeight="1" x14ac:dyDescent="0.2"/>
    <row r="4" spans="2:7" s="118" customFormat="1" ht="22" customHeight="1" x14ac:dyDescent="0.2">
      <c r="B4" s="103" t="s">
        <v>353</v>
      </c>
      <c r="C4" s="115" t="s">
        <v>1</v>
      </c>
      <c r="D4" s="116" t="s">
        <v>345</v>
      </c>
      <c r="E4" s="117" t="s">
        <v>355</v>
      </c>
      <c r="F4" s="117" t="s">
        <v>356</v>
      </c>
      <c r="G4" s="106" t="s">
        <v>284</v>
      </c>
    </row>
    <row r="5" spans="2:7" s="118" customFormat="1" ht="30" customHeight="1" x14ac:dyDescent="0.2">
      <c r="B5" s="101" t="s">
        <v>359</v>
      </c>
      <c r="C5" s="107">
        <f>'TOKENOMICS (Cũ)'!C19</f>
        <v>0.14499999999999999</v>
      </c>
      <c r="D5" s="108">
        <f>'TOKENOMICS (Mới)'!D19</f>
        <v>43000000</v>
      </c>
      <c r="E5" s="109">
        <f>F5/D5</f>
        <v>7.4999999999999997E-3</v>
      </c>
      <c r="F5" s="108">
        <f>SUM(F6:F8)</f>
        <v>322500</v>
      </c>
      <c r="G5" s="110"/>
    </row>
    <row r="6" spans="2:7" s="118" customFormat="1" ht="30" customHeight="1" x14ac:dyDescent="0.2">
      <c r="B6" s="99" t="s">
        <v>363</v>
      </c>
      <c r="C6" s="111">
        <v>0.3</v>
      </c>
      <c r="D6" s="100">
        <f>C6*D5</f>
        <v>12900000</v>
      </c>
      <c r="E6" s="113">
        <v>6.4999999999999997E-3</v>
      </c>
      <c r="F6" s="100">
        <f>D6*E6</f>
        <v>83850</v>
      </c>
      <c r="G6" s="112" t="s">
        <v>473</v>
      </c>
    </row>
    <row r="7" spans="2:7" s="118" customFormat="1" ht="30" customHeight="1" x14ac:dyDescent="0.2">
      <c r="B7" s="99" t="s">
        <v>362</v>
      </c>
      <c r="C7" s="111">
        <v>0.4</v>
      </c>
      <c r="D7" s="100">
        <f>C7*D5</f>
        <v>17200000</v>
      </c>
      <c r="E7" s="113">
        <v>7.4999999999999997E-3</v>
      </c>
      <c r="F7" s="100">
        <f t="shared" ref="F7:F8" si="0">D7*E7</f>
        <v>129000</v>
      </c>
      <c r="G7" s="112" t="s">
        <v>473</v>
      </c>
    </row>
    <row r="8" spans="2:7" s="118" customFormat="1" ht="30" customHeight="1" x14ac:dyDescent="0.2">
      <c r="B8" s="99" t="s">
        <v>361</v>
      </c>
      <c r="C8" s="111">
        <v>0.3</v>
      </c>
      <c r="D8" s="100">
        <f>C8*D5</f>
        <v>12900000</v>
      </c>
      <c r="E8" s="113">
        <v>8.5000000000000006E-3</v>
      </c>
      <c r="F8" s="100">
        <f t="shared" si="0"/>
        <v>109650.00000000001</v>
      </c>
      <c r="G8" s="112" t="s">
        <v>360</v>
      </c>
    </row>
    <row r="9" spans="2:7" ht="15" customHeight="1" x14ac:dyDescent="0.2">
      <c r="B9" s="201"/>
      <c r="C9" s="201"/>
      <c r="D9" s="201"/>
      <c r="E9" s="201"/>
      <c r="F9" s="201"/>
      <c r="G9" s="201"/>
    </row>
    <row r="10" spans="2:7" ht="16" customHeight="1" x14ac:dyDescent="0.2">
      <c r="B10" s="97"/>
      <c r="C10" s="68"/>
      <c r="D10" s="69"/>
      <c r="E10" s="105"/>
      <c r="F10" s="69"/>
      <c r="G10" s="98"/>
    </row>
    <row r="11" spans="2:7" s="118" customFormat="1" ht="22" customHeight="1" x14ac:dyDescent="0.2">
      <c r="B11" s="202" t="s">
        <v>350</v>
      </c>
      <c r="C11" s="202"/>
      <c r="D11" s="202"/>
      <c r="E11" s="119"/>
      <c r="F11" s="120"/>
      <c r="G11" s="120"/>
    </row>
    <row r="12" spans="2:7" s="118" customFormat="1" ht="25" customHeight="1" x14ac:dyDescent="0.2">
      <c r="B12" s="102" t="s">
        <v>368</v>
      </c>
      <c r="C12" s="102"/>
      <c r="D12" s="102"/>
      <c r="E12" s="121">
        <f>SUM(E13:E16)</f>
        <v>1</v>
      </c>
      <c r="F12" s="122">
        <f>F5</f>
        <v>322500</v>
      </c>
      <c r="G12" s="123"/>
    </row>
    <row r="13" spans="2:7" s="118" customFormat="1" ht="25" customHeight="1" x14ac:dyDescent="0.2">
      <c r="B13" s="104" t="s">
        <v>364</v>
      </c>
      <c r="C13" s="104"/>
      <c r="D13" s="104"/>
      <c r="E13" s="124">
        <v>0.45</v>
      </c>
      <c r="F13" s="100">
        <f>E13*F$12</f>
        <v>145125</v>
      </c>
      <c r="G13" s="126" t="s">
        <v>365</v>
      </c>
    </row>
    <row r="14" spans="2:7" s="219" customFormat="1" ht="25" customHeight="1" x14ac:dyDescent="0.2">
      <c r="B14" s="215" t="s">
        <v>496</v>
      </c>
      <c r="C14" s="215"/>
      <c r="D14" s="215"/>
      <c r="E14" s="216">
        <v>0.4</v>
      </c>
      <c r="F14" s="217">
        <f>E14*F$12</f>
        <v>129000</v>
      </c>
      <c r="G14" s="218" t="s">
        <v>495</v>
      </c>
    </row>
    <row r="15" spans="2:7" s="118" customFormat="1" ht="25" customHeight="1" x14ac:dyDescent="0.2">
      <c r="B15" s="99" t="s">
        <v>346</v>
      </c>
      <c r="C15" s="99"/>
      <c r="D15" s="99"/>
      <c r="E15" s="124">
        <v>0.15</v>
      </c>
      <c r="F15" s="100">
        <f t="shared" ref="F15:F16" si="1">E15*F$12</f>
        <v>48375</v>
      </c>
      <c r="G15" s="127" t="s">
        <v>366</v>
      </c>
    </row>
    <row r="16" spans="2:7" s="118" customFormat="1" ht="25" customHeight="1" x14ac:dyDescent="0.2">
      <c r="B16" s="99" t="s">
        <v>367</v>
      </c>
      <c r="C16" s="99"/>
      <c r="D16" s="99"/>
      <c r="E16" s="124"/>
      <c r="F16" s="100"/>
      <c r="G16" s="126"/>
    </row>
    <row r="17" spans="2:7" s="118" customFormat="1" ht="15" customHeight="1" x14ac:dyDescent="0.2">
      <c r="B17" s="101"/>
      <c r="C17" s="101"/>
      <c r="D17" s="101"/>
    </row>
    <row r="18" spans="2:7" s="118" customFormat="1" ht="22" customHeight="1" x14ac:dyDescent="0.2">
      <c r="B18" s="202"/>
      <c r="C18" s="202"/>
      <c r="D18" s="202"/>
      <c r="E18" s="119"/>
      <c r="F18" s="120"/>
      <c r="G18" s="120"/>
    </row>
  </sheetData>
  <mergeCells count="3">
    <mergeCell ref="B9:G9"/>
    <mergeCell ref="B11:D11"/>
    <mergeCell ref="B18:D18"/>
  </mergeCells>
  <pageMargins left="0.7" right="0.7" top="0.75" bottom="0.75" header="0.3" footer="0.3"/>
  <pageSetup paperSize="8" orientation="portrait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23427D-33CE-6C46-A698-71C1EED69138}">
  <dimension ref="B2:H34"/>
  <sheetViews>
    <sheetView topLeftCell="A14" zoomScale="114" zoomScaleNormal="114" workbookViewId="0">
      <selection activeCell="D33" sqref="D33"/>
    </sheetView>
  </sheetViews>
  <sheetFormatPr baseColWidth="10" defaultRowHeight="15" x14ac:dyDescent="0.2"/>
  <cols>
    <col min="1" max="1" width="10.83203125" style="4"/>
    <col min="2" max="2" width="8" style="4" customWidth="1"/>
    <col min="3" max="3" width="32.1640625" style="4" customWidth="1"/>
    <col min="4" max="4" width="21" style="4" customWidth="1"/>
    <col min="5" max="5" width="9.6640625" style="76" customWidth="1"/>
    <col min="6" max="6" width="15.33203125" style="77" customWidth="1"/>
    <col min="7" max="7" width="15.33203125" style="4" customWidth="1"/>
    <col min="8" max="8" width="29.33203125" style="4" customWidth="1"/>
    <col min="9" max="9" width="16" style="4" customWidth="1"/>
    <col min="10" max="16384" width="10.83203125" style="4"/>
  </cols>
  <sheetData>
    <row r="2" spans="2:8" ht="30" customHeight="1" x14ac:dyDescent="0.2">
      <c r="B2" s="157" t="s">
        <v>379</v>
      </c>
      <c r="C2" s="158"/>
    </row>
    <row r="4" spans="2:8" ht="47" customHeight="1" x14ac:dyDescent="0.2">
      <c r="B4" s="129" t="s">
        <v>278</v>
      </c>
      <c r="C4" s="130" t="s">
        <v>279</v>
      </c>
      <c r="D4" s="129" t="s">
        <v>280</v>
      </c>
      <c r="E4" s="129" t="s">
        <v>281</v>
      </c>
      <c r="F4" s="131" t="s">
        <v>282</v>
      </c>
      <c r="G4" s="132" t="s">
        <v>283</v>
      </c>
      <c r="H4" s="133" t="s">
        <v>284</v>
      </c>
    </row>
    <row r="5" spans="2:8" ht="21" customHeight="1" x14ac:dyDescent="0.2">
      <c r="B5" s="61">
        <v>1</v>
      </c>
      <c r="C5" s="56" t="s">
        <v>285</v>
      </c>
      <c r="D5" s="61" t="s">
        <v>286</v>
      </c>
      <c r="E5" s="61">
        <v>8</v>
      </c>
      <c r="F5" s="55">
        <v>15000</v>
      </c>
      <c r="G5" s="55">
        <f>1.5*F5</f>
        <v>22500</v>
      </c>
    </row>
    <row r="6" spans="2:8" ht="21" customHeight="1" x14ac:dyDescent="0.2">
      <c r="B6" s="61">
        <v>2</v>
      </c>
      <c r="C6" s="56" t="s">
        <v>287</v>
      </c>
      <c r="D6" s="61" t="s">
        <v>288</v>
      </c>
      <c r="E6" s="61">
        <v>5</v>
      </c>
      <c r="F6" s="55">
        <f>F7</f>
        <v>12500</v>
      </c>
      <c r="G6" s="55">
        <f>1.5*F6</f>
        <v>18750</v>
      </c>
    </row>
    <row r="7" spans="2:8" ht="21" customHeight="1" x14ac:dyDescent="0.2">
      <c r="B7" s="78">
        <v>3</v>
      </c>
      <c r="C7" s="58" t="s">
        <v>289</v>
      </c>
      <c r="D7" s="78" t="s">
        <v>290</v>
      </c>
      <c r="E7" s="78">
        <v>7</v>
      </c>
      <c r="F7" s="57">
        <f>F8</f>
        <v>12500</v>
      </c>
      <c r="G7" s="57">
        <f>1.5*F7</f>
        <v>18750</v>
      </c>
    </row>
    <row r="8" spans="2:8" ht="21" customHeight="1" x14ac:dyDescent="0.2">
      <c r="B8" s="78">
        <v>4</v>
      </c>
      <c r="C8" s="58" t="s">
        <v>291</v>
      </c>
      <c r="D8" s="78" t="s">
        <v>290</v>
      </c>
      <c r="E8" s="78">
        <v>7</v>
      </c>
      <c r="F8" s="57">
        <v>12500</v>
      </c>
      <c r="G8" s="57">
        <f t="shared" ref="G8:G20" si="0">1.5*F8</f>
        <v>18750</v>
      </c>
    </row>
    <row r="9" spans="2:8" ht="21" customHeight="1" x14ac:dyDescent="0.2">
      <c r="B9" s="78">
        <v>5</v>
      </c>
      <c r="C9" s="58" t="s">
        <v>292</v>
      </c>
      <c r="D9" s="78" t="s">
        <v>293</v>
      </c>
      <c r="E9" s="78">
        <v>6</v>
      </c>
      <c r="F9" s="57">
        <f>F10</f>
        <v>10000</v>
      </c>
      <c r="G9" s="57">
        <f t="shared" si="0"/>
        <v>15000</v>
      </c>
    </row>
    <row r="10" spans="2:8" ht="21" customHeight="1" x14ac:dyDescent="0.2">
      <c r="B10" s="78">
        <v>6</v>
      </c>
      <c r="C10" s="58" t="s">
        <v>294</v>
      </c>
      <c r="D10" s="78" t="s">
        <v>293</v>
      </c>
      <c r="E10" s="78">
        <v>6</v>
      </c>
      <c r="F10" s="57">
        <f>F11</f>
        <v>10000</v>
      </c>
      <c r="G10" s="57">
        <f t="shared" si="0"/>
        <v>15000</v>
      </c>
    </row>
    <row r="11" spans="2:8" ht="21" customHeight="1" x14ac:dyDescent="0.2">
      <c r="B11" s="78">
        <v>7</v>
      </c>
      <c r="C11" s="58" t="s">
        <v>295</v>
      </c>
      <c r="D11" s="78" t="s">
        <v>293</v>
      </c>
      <c r="E11" s="78">
        <v>6</v>
      </c>
      <c r="F11" s="57">
        <f>F12</f>
        <v>10000</v>
      </c>
      <c r="G11" s="57">
        <f t="shared" si="0"/>
        <v>15000</v>
      </c>
    </row>
    <row r="12" spans="2:8" ht="21" customHeight="1" x14ac:dyDescent="0.2">
      <c r="B12" s="78">
        <v>8</v>
      </c>
      <c r="C12" s="58" t="s">
        <v>296</v>
      </c>
      <c r="D12" s="78" t="s">
        <v>293</v>
      </c>
      <c r="E12" s="78">
        <v>6</v>
      </c>
      <c r="F12" s="57">
        <f>F13</f>
        <v>10000</v>
      </c>
      <c r="G12" s="57">
        <f t="shared" si="0"/>
        <v>15000</v>
      </c>
    </row>
    <row r="13" spans="2:8" ht="21" customHeight="1" x14ac:dyDescent="0.2">
      <c r="B13" s="78">
        <v>9</v>
      </c>
      <c r="C13" s="58" t="s">
        <v>297</v>
      </c>
      <c r="D13" s="78" t="s">
        <v>293</v>
      </c>
      <c r="E13" s="78">
        <v>6</v>
      </c>
      <c r="F13" s="57">
        <v>10000</v>
      </c>
      <c r="G13" s="57">
        <f t="shared" si="0"/>
        <v>15000</v>
      </c>
    </row>
    <row r="14" spans="2:8" ht="21" customHeight="1" x14ac:dyDescent="0.2">
      <c r="B14" s="78">
        <v>10</v>
      </c>
      <c r="C14" s="58" t="s">
        <v>298</v>
      </c>
      <c r="D14" s="78" t="s">
        <v>293</v>
      </c>
      <c r="E14" s="78">
        <v>5</v>
      </c>
      <c r="F14" s="57">
        <f>F15</f>
        <v>7500</v>
      </c>
      <c r="G14" s="57">
        <f t="shared" si="0"/>
        <v>11250</v>
      </c>
    </row>
    <row r="15" spans="2:8" ht="21" customHeight="1" x14ac:dyDescent="0.2">
      <c r="B15" s="78">
        <v>11</v>
      </c>
      <c r="C15" s="58" t="s">
        <v>299</v>
      </c>
      <c r="D15" s="78" t="s">
        <v>293</v>
      </c>
      <c r="E15" s="78">
        <v>5</v>
      </c>
      <c r="F15" s="57">
        <f>F16</f>
        <v>7500</v>
      </c>
      <c r="G15" s="57">
        <f t="shared" si="0"/>
        <v>11250</v>
      </c>
    </row>
    <row r="16" spans="2:8" ht="21" customHeight="1" x14ac:dyDescent="0.2">
      <c r="B16" s="78">
        <v>12</v>
      </c>
      <c r="C16" s="58" t="s">
        <v>300</v>
      </c>
      <c r="D16" s="78" t="s">
        <v>293</v>
      </c>
      <c r="E16" s="78">
        <v>5</v>
      </c>
      <c r="F16" s="57">
        <f>F17</f>
        <v>7500</v>
      </c>
      <c r="G16" s="57">
        <f t="shared" si="0"/>
        <v>11250</v>
      </c>
    </row>
    <row r="17" spans="2:8" ht="21" customHeight="1" x14ac:dyDescent="0.2">
      <c r="B17" s="78">
        <v>13</v>
      </c>
      <c r="C17" s="58" t="s">
        <v>301</v>
      </c>
      <c r="D17" s="78" t="s">
        <v>293</v>
      </c>
      <c r="E17" s="78">
        <v>5</v>
      </c>
      <c r="F17" s="57">
        <f>F18</f>
        <v>7500</v>
      </c>
      <c r="G17" s="57">
        <f t="shared" si="0"/>
        <v>11250</v>
      </c>
    </row>
    <row r="18" spans="2:8" ht="21" customHeight="1" x14ac:dyDescent="0.2">
      <c r="B18" s="78">
        <v>14</v>
      </c>
      <c r="C18" s="58" t="s">
        <v>302</v>
      </c>
      <c r="D18" s="78" t="s">
        <v>293</v>
      </c>
      <c r="E18" s="78">
        <v>5</v>
      </c>
      <c r="F18" s="57">
        <v>7500</v>
      </c>
      <c r="G18" s="57">
        <f t="shared" si="0"/>
        <v>11250</v>
      </c>
    </row>
    <row r="19" spans="2:8" ht="21" customHeight="1" x14ac:dyDescent="0.2">
      <c r="B19" s="78">
        <v>15</v>
      </c>
      <c r="C19" s="58" t="s">
        <v>303</v>
      </c>
      <c r="D19" s="78" t="s">
        <v>293</v>
      </c>
      <c r="E19" s="78">
        <v>4</v>
      </c>
      <c r="F19" s="57">
        <f>F20</f>
        <v>5000</v>
      </c>
      <c r="G19" s="57">
        <f t="shared" si="0"/>
        <v>7500</v>
      </c>
    </row>
    <row r="20" spans="2:8" ht="21" customHeight="1" x14ac:dyDescent="0.2">
      <c r="B20" s="78">
        <v>16</v>
      </c>
      <c r="C20" s="58" t="s">
        <v>304</v>
      </c>
      <c r="D20" s="78" t="s">
        <v>293</v>
      </c>
      <c r="E20" s="78">
        <v>4</v>
      </c>
      <c r="F20" s="57">
        <v>5000</v>
      </c>
      <c r="G20" s="57">
        <f t="shared" si="0"/>
        <v>7500</v>
      </c>
    </row>
    <row r="21" spans="2:8" s="5" customFormat="1" ht="24" customHeight="1" x14ac:dyDescent="0.2">
      <c r="B21" s="134"/>
      <c r="C21" s="134" t="s">
        <v>223</v>
      </c>
      <c r="D21" s="134"/>
      <c r="E21" s="133"/>
      <c r="F21" s="135">
        <f>SUM(F5:F20)</f>
        <v>150000</v>
      </c>
      <c r="G21" s="135">
        <f>SUM(G5:G20)</f>
        <v>225000</v>
      </c>
      <c r="H21" s="134"/>
    </row>
    <row r="23" spans="2:8" s="118" customFormat="1" ht="22" customHeight="1" x14ac:dyDescent="0.2">
      <c r="B23" s="136"/>
      <c r="C23" s="134" t="s">
        <v>373</v>
      </c>
      <c r="D23" s="161">
        <f>SUM(D25:D29)</f>
        <v>1</v>
      </c>
      <c r="E23" s="119"/>
      <c r="F23" s="120"/>
      <c r="G23" s="120"/>
      <c r="H23" s="120"/>
    </row>
    <row r="24" spans="2:8" x14ac:dyDescent="0.2">
      <c r="D24" s="159"/>
    </row>
    <row r="25" spans="2:8" ht="19" customHeight="1" x14ac:dyDescent="0.2">
      <c r="C25" s="4" t="s">
        <v>305</v>
      </c>
      <c r="D25" s="160">
        <v>0.05</v>
      </c>
      <c r="F25" s="57">
        <f>D25*F$21</f>
        <v>7500</v>
      </c>
    </row>
    <row r="26" spans="2:8" ht="19" customHeight="1" x14ac:dyDescent="0.2">
      <c r="B26" s="220"/>
      <c r="C26" s="220" t="s">
        <v>306</v>
      </c>
      <c r="D26" s="221">
        <v>0.4</v>
      </c>
      <c r="E26" s="222"/>
      <c r="F26" s="223">
        <f t="shared" ref="F26:F29" si="1">D26*F$21</f>
        <v>60000</v>
      </c>
      <c r="G26" s="220"/>
      <c r="H26" s="222" t="s">
        <v>497</v>
      </c>
    </row>
    <row r="27" spans="2:8" ht="19" customHeight="1" x14ac:dyDescent="0.2">
      <c r="C27" s="4" t="s">
        <v>307</v>
      </c>
      <c r="D27" s="160">
        <v>0.15</v>
      </c>
      <c r="F27" s="57">
        <f t="shared" si="1"/>
        <v>22500</v>
      </c>
    </row>
    <row r="28" spans="2:8" ht="19" customHeight="1" x14ac:dyDescent="0.2">
      <c r="C28" s="4" t="s">
        <v>308</v>
      </c>
      <c r="D28" s="160">
        <v>0.2</v>
      </c>
      <c r="F28" s="57">
        <f t="shared" si="1"/>
        <v>30000</v>
      </c>
    </row>
    <row r="29" spans="2:8" ht="19" customHeight="1" x14ac:dyDescent="0.2">
      <c r="C29" s="4" t="s">
        <v>341</v>
      </c>
      <c r="D29" s="160">
        <v>0.2</v>
      </c>
      <c r="F29" s="57">
        <f t="shared" si="1"/>
        <v>30000</v>
      </c>
    </row>
    <row r="30" spans="2:8" x14ac:dyDescent="0.2">
      <c r="D30" s="79"/>
    </row>
    <row r="31" spans="2:8" x14ac:dyDescent="0.2">
      <c r="B31" s="137"/>
      <c r="C31" s="137"/>
      <c r="D31" s="137"/>
      <c r="E31" s="138"/>
      <c r="F31" s="139"/>
      <c r="G31" s="137"/>
      <c r="H31" s="137"/>
    </row>
    <row r="34" spans="4:4" x14ac:dyDescent="0.2">
      <c r="D34" s="79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A7790E-F1FF-D342-ACC2-7E6AA52EB898}">
  <dimension ref="B3:F29"/>
  <sheetViews>
    <sheetView topLeftCell="A13" zoomScale="128" zoomScaleNormal="128" workbookViewId="0">
      <selection activeCell="B24" sqref="B24:E24"/>
    </sheetView>
  </sheetViews>
  <sheetFormatPr baseColWidth="10" defaultRowHeight="16" x14ac:dyDescent="0.2"/>
  <cols>
    <col min="1" max="1" width="7.83203125" style="88" customWidth="1"/>
    <col min="2" max="2" width="31.83203125" style="88" customWidth="1"/>
    <col min="3" max="5" width="30.6640625" style="88" customWidth="1"/>
    <col min="6" max="16384" width="10.83203125" style="88"/>
  </cols>
  <sheetData>
    <row r="3" spans="2:5" ht="29" customHeight="1" x14ac:dyDescent="0.2">
      <c r="B3" s="147" t="s">
        <v>338</v>
      </c>
      <c r="C3" s="147" t="s">
        <v>337</v>
      </c>
      <c r="D3" s="147" t="s">
        <v>336</v>
      </c>
      <c r="E3" s="147" t="s">
        <v>335</v>
      </c>
    </row>
    <row r="4" spans="2:5" s="85" customFormat="1" ht="15" x14ac:dyDescent="0.2">
      <c r="B4" s="85" t="s">
        <v>334</v>
      </c>
      <c r="C4" s="85">
        <v>3</v>
      </c>
      <c r="D4" s="85">
        <v>5</v>
      </c>
      <c r="E4" s="85">
        <v>10</v>
      </c>
    </row>
    <row r="5" spans="2:5" s="83" customFormat="1" ht="15" x14ac:dyDescent="0.2">
      <c r="B5" s="92" t="s">
        <v>333</v>
      </c>
      <c r="C5" s="85"/>
    </row>
    <row r="6" spans="2:5" s="83" customFormat="1" ht="15" x14ac:dyDescent="0.2">
      <c r="B6" s="83" t="s">
        <v>332</v>
      </c>
      <c r="C6" s="91">
        <v>0.9</v>
      </c>
      <c r="D6" s="91">
        <v>0.55000000000000004</v>
      </c>
      <c r="E6" s="91">
        <v>0.35</v>
      </c>
    </row>
    <row r="7" spans="2:5" s="83" customFormat="1" ht="15" x14ac:dyDescent="0.2">
      <c r="B7" s="83" t="s">
        <v>331</v>
      </c>
      <c r="C7" s="91">
        <v>0.09</v>
      </c>
      <c r="D7" s="91">
        <v>0.3</v>
      </c>
      <c r="E7" s="91">
        <v>0.3</v>
      </c>
    </row>
    <row r="8" spans="2:5" s="83" customFormat="1" ht="15" x14ac:dyDescent="0.2">
      <c r="B8" s="83" t="s">
        <v>330</v>
      </c>
      <c r="C8" s="91">
        <v>0.01</v>
      </c>
      <c r="D8" s="91">
        <v>0.13</v>
      </c>
      <c r="E8" s="91">
        <v>0.22</v>
      </c>
    </row>
    <row r="9" spans="2:5" s="83" customFormat="1" ht="15" x14ac:dyDescent="0.2">
      <c r="B9" s="83" t="s">
        <v>329</v>
      </c>
      <c r="C9" s="91" t="s">
        <v>372</v>
      </c>
      <c r="D9" s="91">
        <v>0.02</v>
      </c>
      <c r="E9" s="91">
        <v>0.1</v>
      </c>
    </row>
    <row r="10" spans="2:5" s="83" customFormat="1" ht="15" x14ac:dyDescent="0.2">
      <c r="B10" s="83" t="s">
        <v>328</v>
      </c>
      <c r="C10" s="91" t="s">
        <v>372</v>
      </c>
      <c r="D10" s="128" t="s">
        <v>372</v>
      </c>
      <c r="E10" s="91">
        <v>0.03</v>
      </c>
    </row>
    <row r="11" spans="2:5" s="83" customFormat="1" ht="15" x14ac:dyDescent="0.2">
      <c r="B11" s="83" t="s">
        <v>327</v>
      </c>
      <c r="D11" s="91" t="s">
        <v>326</v>
      </c>
      <c r="E11" s="91" t="s">
        <v>325</v>
      </c>
    </row>
    <row r="12" spans="2:5" s="83" customFormat="1" ht="15" x14ac:dyDescent="0.2">
      <c r="B12" s="85" t="s">
        <v>324</v>
      </c>
      <c r="C12" s="84">
        <v>120000</v>
      </c>
      <c r="D12" s="84">
        <v>30000</v>
      </c>
      <c r="E12" s="84">
        <v>3200</v>
      </c>
    </row>
    <row r="13" spans="2:5" s="85" customFormat="1" ht="15" x14ac:dyDescent="0.2">
      <c r="B13" s="85" t="s">
        <v>323</v>
      </c>
      <c r="C13" s="84">
        <v>2500</v>
      </c>
      <c r="D13" s="84">
        <v>5000</v>
      </c>
      <c r="E13" s="84">
        <v>15000</v>
      </c>
    </row>
    <row r="14" spans="2:5" s="85" customFormat="1" ht="32" x14ac:dyDescent="0.2">
      <c r="B14" s="85" t="s">
        <v>322</v>
      </c>
      <c r="C14" s="86" t="s">
        <v>321</v>
      </c>
      <c r="D14" s="86" t="s">
        <v>320</v>
      </c>
      <c r="E14" s="86" t="s">
        <v>485</v>
      </c>
    </row>
    <row r="16" spans="2:5" s="89" customFormat="1" ht="18" customHeight="1" x14ac:dyDescent="0.2">
      <c r="B16" s="148"/>
      <c r="C16" s="148"/>
      <c r="D16" s="148"/>
      <c r="E16" s="148"/>
    </row>
    <row r="18" spans="2:6" s="83" customFormat="1" ht="15" x14ac:dyDescent="0.2">
      <c r="B18" s="83" t="s">
        <v>340</v>
      </c>
      <c r="C18" s="93">
        <f>0.0065*C13</f>
        <v>16.25</v>
      </c>
      <c r="D18" s="93">
        <f>0.0065*D13</f>
        <v>32.5</v>
      </c>
      <c r="E18" s="93">
        <f>0.0065*E13</f>
        <v>97.5</v>
      </c>
    </row>
    <row r="19" spans="2:6" x14ac:dyDescent="0.2">
      <c r="C19" s="90">
        <f>C12*C18</f>
        <v>1950000</v>
      </c>
      <c r="D19" s="90">
        <f>D12*D18</f>
        <v>975000</v>
      </c>
      <c r="E19" s="90">
        <f>E12*E18</f>
        <v>312000</v>
      </c>
      <c r="F19" s="149">
        <f>SUM(C19:E19)</f>
        <v>3237000</v>
      </c>
    </row>
    <row r="20" spans="2:6" x14ac:dyDescent="0.2">
      <c r="C20" s="90"/>
      <c r="D20" s="90"/>
      <c r="E20" s="90"/>
      <c r="F20" s="90"/>
    </row>
    <row r="21" spans="2:6" s="152" customFormat="1" ht="25" customHeight="1" x14ac:dyDescent="0.2">
      <c r="B21" s="153" t="s">
        <v>374</v>
      </c>
      <c r="C21" s="154">
        <f>SUM(C23:C27)</f>
        <v>1</v>
      </c>
      <c r="D21" s="155"/>
      <c r="E21" s="155">
        <f>SUM(E23:E27)</f>
        <v>3237000</v>
      </c>
      <c r="F21" s="151"/>
    </row>
    <row r="23" spans="2:6" x14ac:dyDescent="0.2">
      <c r="B23" s="94" t="s">
        <v>305</v>
      </c>
      <c r="C23" s="95">
        <v>0.05</v>
      </c>
      <c r="D23" s="96">
        <f>F19</f>
        <v>3237000</v>
      </c>
      <c r="E23" s="96">
        <f>C23*D$23</f>
        <v>161850</v>
      </c>
    </row>
    <row r="24" spans="2:6" s="224" customFormat="1" x14ac:dyDescent="0.2">
      <c r="B24" s="225" t="s">
        <v>342</v>
      </c>
      <c r="C24" s="226">
        <v>0.4</v>
      </c>
      <c r="D24" s="227"/>
      <c r="E24" s="228">
        <f t="shared" ref="E24:E27" si="0">C24*D$23</f>
        <v>1294800</v>
      </c>
    </row>
    <row r="25" spans="2:6" x14ac:dyDescent="0.2">
      <c r="B25" s="94" t="s">
        <v>307</v>
      </c>
      <c r="C25" s="95">
        <v>0.05</v>
      </c>
      <c r="E25" s="96">
        <f t="shared" si="0"/>
        <v>161850</v>
      </c>
    </row>
    <row r="26" spans="2:6" x14ac:dyDescent="0.2">
      <c r="B26" s="94" t="s">
        <v>308</v>
      </c>
      <c r="C26" s="95">
        <v>0.25</v>
      </c>
      <c r="E26" s="96">
        <f t="shared" si="0"/>
        <v>809250</v>
      </c>
    </row>
    <row r="27" spans="2:6" x14ac:dyDescent="0.2">
      <c r="B27" s="94" t="s">
        <v>341</v>
      </c>
      <c r="C27" s="95">
        <v>0.25</v>
      </c>
      <c r="E27" s="96">
        <f t="shared" si="0"/>
        <v>809250</v>
      </c>
    </row>
    <row r="29" spans="2:6" s="89" customFormat="1" ht="18" customHeight="1" x14ac:dyDescent="0.2">
      <c r="B29" s="148"/>
      <c r="C29" s="148"/>
      <c r="D29" s="148"/>
      <c r="E29" s="148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BA6F14-02B3-284E-8245-383051BFDCB3}">
  <dimension ref="B3:H9"/>
  <sheetViews>
    <sheetView zoomScale="115" zoomScaleNormal="115" workbookViewId="0">
      <selection activeCell="F15" sqref="F15"/>
    </sheetView>
  </sheetViews>
  <sheetFormatPr baseColWidth="10" defaultRowHeight="15" x14ac:dyDescent="0.2"/>
  <cols>
    <col min="1" max="1" width="10.83203125" style="10"/>
    <col min="2" max="2" width="22.83203125" style="82" customWidth="1"/>
    <col min="3" max="4" width="12.33203125" style="81" customWidth="1"/>
    <col min="5" max="5" width="12.33203125" style="10" customWidth="1"/>
    <col min="6" max="7" width="12.33203125" style="80" customWidth="1"/>
    <col min="8" max="8" width="29.83203125" style="10" customWidth="1"/>
    <col min="9" max="16384" width="10.83203125" style="10"/>
  </cols>
  <sheetData>
    <row r="3" spans="2:8" ht="39" customHeight="1" x14ac:dyDescent="0.2">
      <c r="B3" s="140" t="s">
        <v>319</v>
      </c>
      <c r="C3" s="141" t="s">
        <v>318</v>
      </c>
      <c r="D3" s="141" t="s">
        <v>317</v>
      </c>
      <c r="E3" s="142" t="s">
        <v>316</v>
      </c>
      <c r="F3" s="142" t="s">
        <v>315</v>
      </c>
      <c r="G3" s="142" t="s">
        <v>314</v>
      </c>
      <c r="H3" s="143" t="s">
        <v>284</v>
      </c>
    </row>
    <row r="4" spans="2:8" ht="27" customHeight="1" x14ac:dyDescent="0.2">
      <c r="B4" s="87" t="s">
        <v>313</v>
      </c>
      <c r="C4" s="69">
        <v>10</v>
      </c>
      <c r="D4" s="69">
        <v>2</v>
      </c>
      <c r="E4" s="69">
        <f>C4*D4</f>
        <v>20</v>
      </c>
      <c r="F4" s="69">
        <f t="shared" ref="F4:G8" si="0">D4*48</f>
        <v>96</v>
      </c>
      <c r="G4" s="69">
        <f t="shared" si="0"/>
        <v>960</v>
      </c>
    </row>
    <row r="5" spans="2:8" ht="27" customHeight="1" x14ac:dyDescent="0.2">
      <c r="B5" s="87" t="s">
        <v>312</v>
      </c>
      <c r="C5" s="69">
        <v>50</v>
      </c>
      <c r="D5" s="69">
        <v>4</v>
      </c>
      <c r="E5" s="69">
        <f>C5*D5</f>
        <v>200</v>
      </c>
      <c r="F5" s="69">
        <f t="shared" si="0"/>
        <v>192</v>
      </c>
      <c r="G5" s="69">
        <f t="shared" si="0"/>
        <v>9600</v>
      </c>
    </row>
    <row r="6" spans="2:8" ht="27" customHeight="1" x14ac:dyDescent="0.2">
      <c r="B6" s="87" t="s">
        <v>311</v>
      </c>
      <c r="C6" s="69">
        <v>100</v>
      </c>
      <c r="D6" s="69">
        <v>4</v>
      </c>
      <c r="E6" s="69">
        <f>C6*D6</f>
        <v>400</v>
      </c>
      <c r="F6" s="69">
        <f t="shared" si="0"/>
        <v>192</v>
      </c>
      <c r="G6" s="69">
        <f t="shared" si="0"/>
        <v>19200</v>
      </c>
    </row>
    <row r="7" spans="2:8" ht="27" customHeight="1" x14ac:dyDescent="0.2">
      <c r="B7" s="87" t="s">
        <v>310</v>
      </c>
      <c r="C7" s="69">
        <v>500</v>
      </c>
      <c r="D7" s="69">
        <v>6</v>
      </c>
      <c r="E7" s="69">
        <f>C7*D7</f>
        <v>3000</v>
      </c>
      <c r="F7" s="69">
        <f t="shared" si="0"/>
        <v>288</v>
      </c>
      <c r="G7" s="69">
        <f t="shared" si="0"/>
        <v>144000</v>
      </c>
    </row>
    <row r="8" spans="2:8" ht="27" customHeight="1" x14ac:dyDescent="0.2">
      <c r="B8" s="87" t="s">
        <v>309</v>
      </c>
      <c r="C8" s="69">
        <v>1000</v>
      </c>
      <c r="D8" s="69">
        <v>10</v>
      </c>
      <c r="E8" s="69">
        <f>C8*D8</f>
        <v>10000</v>
      </c>
      <c r="F8" s="69">
        <f t="shared" si="0"/>
        <v>480</v>
      </c>
      <c r="G8" s="69">
        <f t="shared" si="0"/>
        <v>480000</v>
      </c>
    </row>
    <row r="9" spans="2:8" s="144" customFormat="1" ht="23" customHeight="1" x14ac:dyDescent="0.2">
      <c r="B9" s="140" t="s">
        <v>2</v>
      </c>
      <c r="C9" s="145"/>
      <c r="D9" s="141">
        <f>SUM(D4:D8)</f>
        <v>26</v>
      </c>
      <c r="E9" s="141">
        <f>SUM(E4:E8)</f>
        <v>13620</v>
      </c>
      <c r="F9" s="141">
        <f>SUM(F4:F8)</f>
        <v>1248</v>
      </c>
      <c r="G9" s="141">
        <f>SUM(G4:G8)</f>
        <v>653760</v>
      </c>
      <c r="H9" s="146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4AD030-0385-2C43-8E60-9A8F4951247E}">
  <dimension ref="B2:H45"/>
  <sheetViews>
    <sheetView topLeftCell="A30" zoomScale="106" zoomScaleNormal="106" workbookViewId="0">
      <selection activeCell="C41" sqref="C41"/>
    </sheetView>
  </sheetViews>
  <sheetFormatPr baseColWidth="10" defaultRowHeight="15" x14ac:dyDescent="0.2"/>
  <cols>
    <col min="1" max="1" width="10.83203125" style="47"/>
    <col min="2" max="2" width="43.5" style="47" customWidth="1"/>
    <col min="3" max="8" width="17.83203125" style="47" customWidth="1"/>
    <col min="9" max="16384" width="10.83203125" style="47"/>
  </cols>
  <sheetData>
    <row r="2" spans="2:8" ht="24" x14ac:dyDescent="0.2">
      <c r="B2" s="46" t="s">
        <v>420</v>
      </c>
    </row>
    <row r="4" spans="2:8" s="5" customFormat="1" ht="51" customHeight="1" x14ac:dyDescent="0.2">
      <c r="B4" s="134" t="s">
        <v>0</v>
      </c>
      <c r="C4" s="132" t="s">
        <v>258</v>
      </c>
      <c r="D4" s="183" t="s">
        <v>259</v>
      </c>
      <c r="E4" s="132" t="s">
        <v>260</v>
      </c>
      <c r="F4" s="132" t="s">
        <v>261</v>
      </c>
      <c r="G4" s="132" t="s">
        <v>262</v>
      </c>
      <c r="H4" s="132" t="s">
        <v>343</v>
      </c>
    </row>
    <row r="5" spans="2:8" s="5" customFormat="1" ht="31" customHeight="1" x14ac:dyDescent="0.2">
      <c r="B5" s="5" t="s">
        <v>223</v>
      </c>
      <c r="C5" s="48">
        <f t="shared" ref="C5:H5" si="0">SUM(C6:C15)</f>
        <v>1</v>
      </c>
      <c r="D5" s="48">
        <f t="shared" si="0"/>
        <v>1</v>
      </c>
      <c r="E5" s="48">
        <f t="shared" si="0"/>
        <v>1</v>
      </c>
      <c r="F5" s="48">
        <f t="shared" si="0"/>
        <v>1</v>
      </c>
      <c r="G5" s="48">
        <f t="shared" si="0"/>
        <v>1</v>
      </c>
      <c r="H5" s="48">
        <f t="shared" si="0"/>
        <v>1</v>
      </c>
    </row>
    <row r="6" spans="2:8" s="4" customFormat="1" ht="31" customHeight="1" x14ac:dyDescent="0.2">
      <c r="B6" s="49" t="s">
        <v>263</v>
      </c>
      <c r="C6" s="50">
        <v>0.6</v>
      </c>
      <c r="D6" s="50">
        <v>0.6</v>
      </c>
      <c r="E6" s="50">
        <v>0.6</v>
      </c>
      <c r="F6" s="50">
        <v>0.6</v>
      </c>
      <c r="G6" s="50">
        <v>0.6</v>
      </c>
      <c r="H6" s="50"/>
    </row>
    <row r="7" spans="2:8" s="4" customFormat="1" ht="23" customHeight="1" x14ac:dyDescent="0.2">
      <c r="B7" s="51" t="s">
        <v>264</v>
      </c>
      <c r="C7" s="50">
        <v>0.1</v>
      </c>
      <c r="D7" s="50">
        <v>0.1</v>
      </c>
      <c r="E7" s="50">
        <v>0.1</v>
      </c>
      <c r="F7" s="50">
        <v>0.1</v>
      </c>
      <c r="G7" s="50">
        <v>0.1</v>
      </c>
      <c r="H7" s="50">
        <v>0.05</v>
      </c>
    </row>
    <row r="8" spans="2:8" s="5" customFormat="1" ht="23" customHeight="1" x14ac:dyDescent="0.2">
      <c r="B8" s="51" t="s">
        <v>344</v>
      </c>
      <c r="C8" s="48"/>
      <c r="D8" s="48"/>
      <c r="E8" s="48"/>
      <c r="F8" s="50">
        <v>0.05</v>
      </c>
      <c r="G8" s="50">
        <v>0.05</v>
      </c>
      <c r="H8" s="48"/>
    </row>
    <row r="9" spans="2:8" s="4" customFormat="1" ht="23" customHeight="1" x14ac:dyDescent="0.2">
      <c r="B9" s="4" t="s">
        <v>265</v>
      </c>
      <c r="C9" s="50">
        <v>0.05</v>
      </c>
      <c r="D9" s="50">
        <v>0.05</v>
      </c>
      <c r="E9" s="50">
        <v>0.05</v>
      </c>
      <c r="F9" s="50"/>
      <c r="G9" s="50"/>
      <c r="H9" s="50">
        <v>0.05</v>
      </c>
    </row>
    <row r="10" spans="2:8" s="4" customFormat="1" ht="23" customHeight="1" x14ac:dyDescent="0.2">
      <c r="B10" s="4" t="s">
        <v>419</v>
      </c>
      <c r="C10" s="50">
        <v>0.05</v>
      </c>
      <c r="D10" s="50">
        <v>0.05</v>
      </c>
      <c r="E10" s="50">
        <v>0.05</v>
      </c>
      <c r="F10" s="50">
        <v>0.05</v>
      </c>
      <c r="G10" s="50">
        <v>0.05</v>
      </c>
      <c r="H10" s="50">
        <v>0.3</v>
      </c>
    </row>
    <row r="11" spans="2:8" s="4" customFormat="1" ht="23" customHeight="1" x14ac:dyDescent="0.2">
      <c r="B11" s="52" t="s">
        <v>266</v>
      </c>
      <c r="C11" s="53">
        <v>0.05</v>
      </c>
      <c r="D11" s="53">
        <v>0.05</v>
      </c>
      <c r="E11" s="53">
        <v>0.05</v>
      </c>
      <c r="F11" s="53">
        <v>0.05</v>
      </c>
      <c r="G11" s="53">
        <v>0.05</v>
      </c>
      <c r="H11" s="53"/>
    </row>
    <row r="12" spans="2:8" s="4" customFormat="1" ht="23" customHeight="1" x14ac:dyDescent="0.2">
      <c r="B12" s="4" t="s">
        <v>339</v>
      </c>
      <c r="C12" s="50">
        <v>7.4999999999999997E-2</v>
      </c>
      <c r="D12" s="50">
        <v>7.4999999999999997E-2</v>
      </c>
      <c r="E12" s="50">
        <v>7.4999999999999997E-2</v>
      </c>
      <c r="F12" s="50">
        <v>7.4999999999999997E-2</v>
      </c>
      <c r="G12" s="50">
        <v>7.4999999999999997E-2</v>
      </c>
      <c r="H12" s="50">
        <v>0.3</v>
      </c>
    </row>
    <row r="13" spans="2:8" s="4" customFormat="1" ht="23" customHeight="1" x14ac:dyDescent="0.2">
      <c r="B13" s="4" t="s">
        <v>267</v>
      </c>
      <c r="C13" s="50">
        <v>7.4999999999999997E-2</v>
      </c>
      <c r="D13" s="50">
        <v>7.4999999999999997E-2</v>
      </c>
      <c r="E13" s="50">
        <v>7.4999999999999997E-2</v>
      </c>
      <c r="F13" s="50">
        <v>7.4999999999999997E-2</v>
      </c>
      <c r="G13" s="50">
        <v>7.4999999999999997E-2</v>
      </c>
      <c r="H13" s="50">
        <v>0.3</v>
      </c>
    </row>
    <row r="14" spans="2:8" x14ac:dyDescent="0.2">
      <c r="B14" s="184"/>
      <c r="C14" s="185"/>
      <c r="D14" s="186"/>
      <c r="E14" s="186"/>
      <c r="F14" s="186"/>
      <c r="G14" s="185"/>
      <c r="H14" s="185"/>
    </row>
    <row r="15" spans="2:8" x14ac:dyDescent="0.2">
      <c r="C15" s="54"/>
    </row>
    <row r="16" spans="2:8" ht="18" x14ac:dyDescent="0.25">
      <c r="B16" s="178" t="s">
        <v>434</v>
      </c>
      <c r="C16" s="54"/>
    </row>
    <row r="17" spans="2:6" s="4" customFormat="1" ht="18" customHeight="1" x14ac:dyDescent="0.2">
      <c r="C17" s="50"/>
    </row>
    <row r="18" spans="2:6" s="4" customFormat="1" ht="28" customHeight="1" x14ac:dyDescent="0.2">
      <c r="B18" s="179" t="s">
        <v>422</v>
      </c>
      <c r="C18" s="180" t="s">
        <v>423</v>
      </c>
      <c r="D18" s="181" t="s">
        <v>433</v>
      </c>
      <c r="E18" s="181" t="s">
        <v>424</v>
      </c>
      <c r="F18" s="182"/>
    </row>
    <row r="19" spans="2:6" s="4" customFormat="1" ht="18" customHeight="1" x14ac:dyDescent="0.2">
      <c r="B19" s="4" t="s">
        <v>425</v>
      </c>
      <c r="C19" s="76">
        <v>72</v>
      </c>
      <c r="D19" s="176">
        <v>100000</v>
      </c>
      <c r="E19" s="176">
        <f>C19*D19</f>
        <v>7200000</v>
      </c>
    </row>
    <row r="20" spans="2:6" s="4" customFormat="1" ht="18" customHeight="1" x14ac:dyDescent="0.2">
      <c r="B20" s="4" t="s">
        <v>432</v>
      </c>
      <c r="C20" s="76">
        <v>16</v>
      </c>
      <c r="D20" s="176">
        <v>150000</v>
      </c>
      <c r="E20" s="176">
        <f t="shared" ref="E20:E25" si="1">C20*D20</f>
        <v>2400000</v>
      </c>
    </row>
    <row r="21" spans="2:6" s="4" customFormat="1" ht="18" customHeight="1" x14ac:dyDescent="0.2">
      <c r="B21" s="4" t="s">
        <v>426</v>
      </c>
      <c r="C21" s="76">
        <v>8</v>
      </c>
      <c r="D21" s="176">
        <v>200000</v>
      </c>
      <c r="E21" s="176">
        <f t="shared" si="1"/>
        <v>1600000</v>
      </c>
    </row>
    <row r="22" spans="2:6" s="4" customFormat="1" ht="18" customHeight="1" x14ac:dyDescent="0.2">
      <c r="B22" s="4" t="s">
        <v>427</v>
      </c>
      <c r="C22" s="76">
        <v>4</v>
      </c>
      <c r="D22" s="176">
        <v>300000</v>
      </c>
      <c r="E22" s="176">
        <f t="shared" si="1"/>
        <v>1200000</v>
      </c>
    </row>
    <row r="23" spans="2:6" s="4" customFormat="1" ht="18" customHeight="1" x14ac:dyDescent="0.2">
      <c r="B23" s="4" t="s">
        <v>428</v>
      </c>
      <c r="C23" s="76">
        <v>2</v>
      </c>
      <c r="D23" s="176">
        <v>400000</v>
      </c>
      <c r="E23" s="176">
        <f t="shared" si="1"/>
        <v>800000</v>
      </c>
    </row>
    <row r="24" spans="2:6" s="4" customFormat="1" ht="18" customHeight="1" x14ac:dyDescent="0.2">
      <c r="B24" s="4" t="s">
        <v>429</v>
      </c>
      <c r="C24" s="76">
        <v>1</v>
      </c>
      <c r="D24" s="176">
        <v>500000</v>
      </c>
      <c r="E24" s="176">
        <f t="shared" si="1"/>
        <v>500000</v>
      </c>
    </row>
    <row r="25" spans="2:6" s="4" customFormat="1" ht="18" customHeight="1" x14ac:dyDescent="0.2">
      <c r="B25" s="4" t="s">
        <v>286</v>
      </c>
      <c r="C25" s="76">
        <v>1</v>
      </c>
      <c r="D25" s="176">
        <v>1000000</v>
      </c>
      <c r="E25" s="176">
        <f t="shared" si="1"/>
        <v>1000000</v>
      </c>
    </row>
    <row r="26" spans="2:6" s="4" customFormat="1" ht="18" customHeight="1" x14ac:dyDescent="0.2">
      <c r="B26" s="5" t="s">
        <v>430</v>
      </c>
      <c r="C26" s="175">
        <v>104</v>
      </c>
      <c r="D26" s="191"/>
      <c r="E26" s="177">
        <f>SUM(E19:E25)</f>
        <v>14700000</v>
      </c>
    </row>
    <row r="27" spans="2:6" s="5" customFormat="1" ht="18" customHeight="1" x14ac:dyDescent="0.2">
      <c r="B27" s="5" t="s">
        <v>431</v>
      </c>
      <c r="E27" s="177">
        <v>300000</v>
      </c>
      <c r="F27" s="162"/>
    </row>
    <row r="28" spans="2:6" ht="18" customHeight="1" x14ac:dyDescent="0.2">
      <c r="B28" s="187" t="s">
        <v>436</v>
      </c>
      <c r="E28" s="176">
        <v>100000</v>
      </c>
    </row>
    <row r="29" spans="2:6" ht="18" customHeight="1" x14ac:dyDescent="0.2">
      <c r="B29" s="47" t="s">
        <v>437</v>
      </c>
      <c r="E29" s="176">
        <v>80000</v>
      </c>
    </row>
    <row r="30" spans="2:6" ht="18" customHeight="1" x14ac:dyDescent="0.2">
      <c r="B30" s="47" t="s">
        <v>438</v>
      </c>
      <c r="E30" s="176">
        <v>80000</v>
      </c>
    </row>
    <row r="31" spans="2:6" ht="18" customHeight="1" x14ac:dyDescent="0.2">
      <c r="B31" s="47" t="s">
        <v>439</v>
      </c>
      <c r="E31" s="176">
        <v>40000</v>
      </c>
    </row>
    <row r="32" spans="2:6" s="4" customFormat="1" ht="18" customHeight="1" x14ac:dyDescent="0.2">
      <c r="B32" s="5" t="s">
        <v>435</v>
      </c>
      <c r="E32" s="177">
        <f>E26+E27</f>
        <v>15000000</v>
      </c>
    </row>
    <row r="33" spans="2:8" s="4" customFormat="1" ht="18" customHeight="1" x14ac:dyDescent="0.2">
      <c r="B33" s="137"/>
      <c r="C33" s="188"/>
      <c r="D33" s="137"/>
      <c r="E33" s="137"/>
      <c r="F33" s="137"/>
    </row>
    <row r="34" spans="2:8" x14ac:dyDescent="0.2">
      <c r="C34" s="54"/>
    </row>
    <row r="35" spans="2:8" x14ac:dyDescent="0.2">
      <c r="C35" s="54"/>
    </row>
    <row r="36" spans="2:8" s="4" customFormat="1" ht="26" customHeight="1" x14ac:dyDescent="0.2">
      <c r="B36" s="46" t="s">
        <v>421</v>
      </c>
    </row>
    <row r="37" spans="2:8" s="5" customFormat="1" ht="31" customHeight="1" x14ac:dyDescent="0.2">
      <c r="B37" s="179" t="s">
        <v>223</v>
      </c>
      <c r="C37" s="189">
        <v>1</v>
      </c>
      <c r="D37" s="190">
        <f>'TOKENOMICS (Cũ)'!D25</f>
        <v>15000000</v>
      </c>
      <c r="E37" s="189"/>
      <c r="F37" s="189"/>
      <c r="G37" s="48"/>
      <c r="H37" s="48"/>
    </row>
    <row r="38" spans="2:8" s="4" customFormat="1" ht="23" customHeight="1" x14ac:dyDescent="0.2">
      <c r="B38" s="4" t="s">
        <v>443</v>
      </c>
      <c r="C38" s="50">
        <v>0.6</v>
      </c>
      <c r="D38" s="50"/>
      <c r="E38" s="50"/>
      <c r="F38" s="50"/>
      <c r="G38" s="50"/>
      <c r="H38" s="50"/>
    </row>
    <row r="39" spans="2:8" s="4" customFormat="1" ht="23" customHeight="1" x14ac:dyDescent="0.2">
      <c r="B39" s="4" t="s">
        <v>440</v>
      </c>
      <c r="C39" s="50">
        <v>7.4999999999999997E-2</v>
      </c>
      <c r="D39" s="50"/>
      <c r="E39" s="50"/>
      <c r="F39" s="50"/>
      <c r="G39" s="50"/>
      <c r="H39" s="50"/>
    </row>
    <row r="40" spans="2:8" s="4" customFormat="1" ht="23" customHeight="1" x14ac:dyDescent="0.2">
      <c r="B40" s="4" t="s">
        <v>441</v>
      </c>
      <c r="C40" s="50">
        <v>2.5000000000000001E-2</v>
      </c>
      <c r="D40" s="50"/>
      <c r="E40" s="50"/>
      <c r="F40" s="50"/>
      <c r="G40" s="50"/>
      <c r="H40" s="50"/>
    </row>
    <row r="41" spans="2:8" s="4" customFormat="1" ht="23" customHeight="1" x14ac:dyDescent="0.2">
      <c r="B41" s="4" t="s">
        <v>442</v>
      </c>
      <c r="C41" s="50">
        <v>0.3</v>
      </c>
      <c r="D41" s="50"/>
      <c r="E41" s="50"/>
      <c r="F41" s="50"/>
      <c r="G41" s="50"/>
      <c r="H41" s="50"/>
    </row>
    <row r="42" spans="2:8" s="4" customFormat="1" ht="23" customHeight="1" x14ac:dyDescent="0.2">
      <c r="B42" s="50" t="s">
        <v>444</v>
      </c>
      <c r="C42" s="50"/>
      <c r="D42" s="50"/>
      <c r="E42" s="50"/>
      <c r="F42" s="50"/>
      <c r="G42" s="50"/>
      <c r="H42" s="50"/>
    </row>
    <row r="43" spans="2:8" s="4" customFormat="1" ht="18" customHeight="1" x14ac:dyDescent="0.2">
      <c r="B43" s="137"/>
      <c r="C43" s="188"/>
      <c r="D43" s="137"/>
      <c r="E43" s="137"/>
      <c r="F43" s="137"/>
    </row>
    <row r="44" spans="2:8" s="4" customFormat="1" ht="23" customHeight="1" x14ac:dyDescent="0.2">
      <c r="C44" s="50"/>
      <c r="D44" s="50"/>
      <c r="E44" s="50"/>
      <c r="F44" s="50"/>
      <c r="G44" s="50"/>
      <c r="H44" s="50"/>
    </row>
    <row r="45" spans="2:8" x14ac:dyDescent="0.2">
      <c r="C45" s="54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FB595F-CFF2-B248-B69A-A26C46EF0EDC}">
  <dimension ref="B3:B110"/>
  <sheetViews>
    <sheetView topLeftCell="A2" workbookViewId="0">
      <selection activeCell="B115" sqref="B115"/>
    </sheetView>
  </sheetViews>
  <sheetFormatPr baseColWidth="10" defaultRowHeight="16" x14ac:dyDescent="0.2"/>
  <cols>
    <col min="2" max="2" width="84.83203125" style="43" customWidth="1"/>
  </cols>
  <sheetData>
    <row r="3" spans="2:2" ht="32" x14ac:dyDescent="0.4">
      <c r="B3" s="36" t="s">
        <v>229</v>
      </c>
    </row>
    <row r="4" spans="2:2" ht="24" x14ac:dyDescent="0.3">
      <c r="B4" s="37" t="s">
        <v>17</v>
      </c>
    </row>
    <row r="5" spans="2:2" x14ac:dyDescent="0.2">
      <c r="B5" s="38" t="s">
        <v>18</v>
      </c>
    </row>
    <row r="7" spans="2:2" s="17" customFormat="1" ht="24" x14ac:dyDescent="0.3">
      <c r="B7" s="39" t="s">
        <v>231</v>
      </c>
    </row>
    <row r="9" spans="2:2" ht="19" x14ac:dyDescent="0.25">
      <c r="B9" s="40" t="s">
        <v>146</v>
      </c>
    </row>
    <row r="11" spans="2:2" ht="17" x14ac:dyDescent="0.25">
      <c r="B11" s="41" t="s">
        <v>3</v>
      </c>
    </row>
    <row r="13" spans="2:2" ht="17" x14ac:dyDescent="0.25">
      <c r="B13" s="41" t="s">
        <v>147</v>
      </c>
    </row>
    <row r="14" spans="2:2" ht="17" x14ac:dyDescent="0.25">
      <c r="B14" s="42" t="s">
        <v>148</v>
      </c>
    </row>
    <row r="15" spans="2:2" ht="17" x14ac:dyDescent="0.25">
      <c r="B15" s="42" t="s">
        <v>149</v>
      </c>
    </row>
    <row r="16" spans="2:2" ht="17" x14ac:dyDescent="0.25">
      <c r="B16" s="42" t="s">
        <v>150</v>
      </c>
    </row>
    <row r="17" spans="2:2" ht="17" x14ac:dyDescent="0.25">
      <c r="B17" s="42" t="s">
        <v>151</v>
      </c>
    </row>
    <row r="18" spans="2:2" ht="17" x14ac:dyDescent="0.25">
      <c r="B18" s="42" t="s">
        <v>152</v>
      </c>
    </row>
    <row r="19" spans="2:2" ht="17" x14ac:dyDescent="0.25">
      <c r="B19" s="42" t="s">
        <v>153</v>
      </c>
    </row>
    <row r="20" spans="2:2" ht="17" x14ac:dyDescent="0.25">
      <c r="B20" s="42" t="s">
        <v>154</v>
      </c>
    </row>
    <row r="22" spans="2:2" ht="17" x14ac:dyDescent="0.25">
      <c r="B22" s="41" t="s">
        <v>155</v>
      </c>
    </row>
    <row r="23" spans="2:2" ht="17" x14ac:dyDescent="0.25">
      <c r="B23" s="42" t="s">
        <v>156</v>
      </c>
    </row>
    <row r="24" spans="2:2" ht="17" x14ac:dyDescent="0.25">
      <c r="B24" s="42" t="s">
        <v>157</v>
      </c>
    </row>
    <row r="25" spans="2:2" ht="17" x14ac:dyDescent="0.25">
      <c r="B25" s="42" t="s">
        <v>158</v>
      </c>
    </row>
    <row r="26" spans="2:2" ht="17" x14ac:dyDescent="0.25">
      <c r="B26" s="42" t="s">
        <v>159</v>
      </c>
    </row>
    <row r="27" spans="2:2" ht="17" x14ac:dyDescent="0.25">
      <c r="B27" s="42" t="s">
        <v>160</v>
      </c>
    </row>
    <row r="28" spans="2:2" ht="17" x14ac:dyDescent="0.25">
      <c r="B28" s="42" t="s">
        <v>161</v>
      </c>
    </row>
    <row r="30" spans="2:2" ht="17" x14ac:dyDescent="0.25">
      <c r="B30" s="41" t="s">
        <v>162</v>
      </c>
    </row>
    <row r="31" spans="2:2" ht="17" x14ac:dyDescent="0.25">
      <c r="B31" s="42" t="s">
        <v>163</v>
      </c>
    </row>
    <row r="32" spans="2:2" ht="17" x14ac:dyDescent="0.25">
      <c r="B32" s="42" t="s">
        <v>164</v>
      </c>
    </row>
    <row r="33" spans="2:2" ht="17" x14ac:dyDescent="0.25">
      <c r="B33" s="42" t="s">
        <v>165</v>
      </c>
    </row>
    <row r="34" spans="2:2" ht="17" x14ac:dyDescent="0.25">
      <c r="B34" s="42" t="s">
        <v>166</v>
      </c>
    </row>
    <row r="35" spans="2:2" ht="17" x14ac:dyDescent="0.25">
      <c r="B35" s="42" t="s">
        <v>167</v>
      </c>
    </row>
    <row r="37" spans="2:2" ht="17" x14ac:dyDescent="0.25">
      <c r="B37" s="41" t="s">
        <v>168</v>
      </c>
    </row>
    <row r="38" spans="2:2" ht="17" x14ac:dyDescent="0.25">
      <c r="B38" s="42" t="s">
        <v>169</v>
      </c>
    </row>
    <row r="39" spans="2:2" ht="17" x14ac:dyDescent="0.25">
      <c r="B39" s="42" t="s">
        <v>170</v>
      </c>
    </row>
    <row r="40" spans="2:2" ht="17" x14ac:dyDescent="0.25">
      <c r="B40" s="42" t="s">
        <v>171</v>
      </c>
    </row>
    <row r="41" spans="2:2" ht="17" x14ac:dyDescent="0.25">
      <c r="B41" s="42" t="s">
        <v>172</v>
      </c>
    </row>
    <row r="43" spans="2:2" ht="17" x14ac:dyDescent="0.25">
      <c r="B43" s="41" t="s">
        <v>4</v>
      </c>
    </row>
    <row r="44" spans="2:2" ht="17" x14ac:dyDescent="0.25">
      <c r="B44" s="42" t="s">
        <v>173</v>
      </c>
    </row>
    <row r="45" spans="2:2" ht="17" x14ac:dyDescent="0.25">
      <c r="B45" s="42" t="s">
        <v>174</v>
      </c>
    </row>
    <row r="46" spans="2:2" ht="17" x14ac:dyDescent="0.25">
      <c r="B46" s="42" t="s">
        <v>175</v>
      </c>
    </row>
    <row r="47" spans="2:2" ht="17" x14ac:dyDescent="0.25">
      <c r="B47" s="42" t="s">
        <v>176</v>
      </c>
    </row>
    <row r="49" spans="2:2" ht="19" x14ac:dyDescent="0.25">
      <c r="B49" s="45" t="s">
        <v>177</v>
      </c>
    </row>
    <row r="51" spans="2:2" ht="17" x14ac:dyDescent="0.25">
      <c r="B51" s="41" t="s">
        <v>16</v>
      </c>
    </row>
    <row r="52" spans="2:2" ht="17" x14ac:dyDescent="0.25">
      <c r="B52" s="41" t="s">
        <v>178</v>
      </c>
    </row>
    <row r="54" spans="2:2" ht="17" x14ac:dyDescent="0.25">
      <c r="B54" s="41" t="s">
        <v>7</v>
      </c>
    </row>
    <row r="55" spans="2:2" ht="17" x14ac:dyDescent="0.25">
      <c r="B55" s="42" t="s">
        <v>179</v>
      </c>
    </row>
    <row r="56" spans="2:2" ht="17" x14ac:dyDescent="0.25">
      <c r="B56" s="42" t="s">
        <v>180</v>
      </c>
    </row>
    <row r="57" spans="2:2" ht="17" x14ac:dyDescent="0.25">
      <c r="B57" s="42" t="s">
        <v>181</v>
      </c>
    </row>
    <row r="58" spans="2:2" ht="17" x14ac:dyDescent="0.25">
      <c r="B58" s="42" t="s">
        <v>182</v>
      </c>
    </row>
    <row r="59" spans="2:2" ht="17" x14ac:dyDescent="0.25">
      <c r="B59" s="42" t="s">
        <v>183</v>
      </c>
    </row>
    <row r="60" spans="2:2" ht="17" x14ac:dyDescent="0.25">
      <c r="B60" s="42" t="s">
        <v>184</v>
      </c>
    </row>
    <row r="61" spans="2:2" ht="17" x14ac:dyDescent="0.25">
      <c r="B61" s="42" t="s">
        <v>185</v>
      </c>
    </row>
    <row r="62" spans="2:2" ht="17" x14ac:dyDescent="0.25">
      <c r="B62" s="42" t="s">
        <v>186</v>
      </c>
    </row>
    <row r="63" spans="2:2" ht="17" x14ac:dyDescent="0.25">
      <c r="B63" s="42" t="s">
        <v>187</v>
      </c>
    </row>
    <row r="64" spans="2:2" ht="17" x14ac:dyDescent="0.25">
      <c r="B64" s="42" t="s">
        <v>188</v>
      </c>
    </row>
    <row r="65" spans="2:2" ht="17" x14ac:dyDescent="0.25">
      <c r="B65" s="42" t="s">
        <v>189</v>
      </c>
    </row>
    <row r="66" spans="2:2" ht="17" x14ac:dyDescent="0.25">
      <c r="B66" s="42" t="s">
        <v>190</v>
      </c>
    </row>
    <row r="67" spans="2:2" ht="17" x14ac:dyDescent="0.25">
      <c r="B67" s="42" t="s">
        <v>191</v>
      </c>
    </row>
    <row r="69" spans="2:2" ht="17" x14ac:dyDescent="0.25">
      <c r="B69" s="41" t="s">
        <v>5</v>
      </c>
    </row>
    <row r="70" spans="2:2" ht="17" x14ac:dyDescent="0.25">
      <c r="B70" s="41" t="s">
        <v>192</v>
      </c>
    </row>
    <row r="71" spans="2:2" ht="17" x14ac:dyDescent="0.25">
      <c r="B71" s="42" t="s">
        <v>193</v>
      </c>
    </row>
    <row r="72" spans="2:2" ht="17" x14ac:dyDescent="0.25">
      <c r="B72" s="42" t="s">
        <v>194</v>
      </c>
    </row>
    <row r="73" spans="2:2" ht="17" x14ac:dyDescent="0.25">
      <c r="B73" s="42" t="s">
        <v>195</v>
      </c>
    </row>
    <row r="74" spans="2:2" ht="17" x14ac:dyDescent="0.25">
      <c r="B74" s="42" t="s">
        <v>196</v>
      </c>
    </row>
    <row r="76" spans="2:2" ht="17" x14ac:dyDescent="0.25">
      <c r="B76" s="41" t="s">
        <v>197</v>
      </c>
    </row>
    <row r="77" spans="2:2" ht="17" x14ac:dyDescent="0.25">
      <c r="B77" s="42" t="s">
        <v>198</v>
      </c>
    </row>
    <row r="78" spans="2:2" ht="17" x14ac:dyDescent="0.25">
      <c r="B78" s="42" t="s">
        <v>199</v>
      </c>
    </row>
    <row r="79" spans="2:2" ht="17" x14ac:dyDescent="0.25">
      <c r="B79" s="42" t="s">
        <v>200</v>
      </c>
    </row>
    <row r="80" spans="2:2" ht="17" x14ac:dyDescent="0.25">
      <c r="B80" s="42" t="s">
        <v>201</v>
      </c>
    </row>
    <row r="82" spans="2:2" ht="17" x14ac:dyDescent="0.25">
      <c r="B82" s="41" t="s">
        <v>6</v>
      </c>
    </row>
    <row r="83" spans="2:2" ht="17" x14ac:dyDescent="0.25">
      <c r="B83" s="42" t="s">
        <v>202</v>
      </c>
    </row>
    <row r="84" spans="2:2" ht="17" x14ac:dyDescent="0.25">
      <c r="B84" s="42" t="s">
        <v>203</v>
      </c>
    </row>
    <row r="85" spans="2:2" ht="17" x14ac:dyDescent="0.25">
      <c r="B85" s="42" t="s">
        <v>204</v>
      </c>
    </row>
    <row r="86" spans="2:2" ht="17" x14ac:dyDescent="0.25">
      <c r="B86" s="42" t="s">
        <v>205</v>
      </c>
    </row>
    <row r="87" spans="2:2" ht="17" x14ac:dyDescent="0.25">
      <c r="B87" s="42" t="s">
        <v>206</v>
      </c>
    </row>
    <row r="89" spans="2:2" ht="17" x14ac:dyDescent="0.25">
      <c r="B89" s="41" t="s">
        <v>8</v>
      </c>
    </row>
    <row r="90" spans="2:2" ht="17" x14ac:dyDescent="0.25">
      <c r="B90" s="42" t="s">
        <v>207</v>
      </c>
    </row>
    <row r="91" spans="2:2" ht="17" x14ac:dyDescent="0.25">
      <c r="B91" s="42" t="s">
        <v>208</v>
      </c>
    </row>
    <row r="92" spans="2:2" ht="17" x14ac:dyDescent="0.25">
      <c r="B92" s="42" t="s">
        <v>209</v>
      </c>
    </row>
    <row r="93" spans="2:2" ht="17" x14ac:dyDescent="0.25">
      <c r="B93" s="42" t="s">
        <v>9</v>
      </c>
    </row>
    <row r="94" spans="2:2" ht="17" x14ac:dyDescent="0.25">
      <c r="B94" s="42" t="s">
        <v>10</v>
      </c>
    </row>
    <row r="95" spans="2:2" ht="17" x14ac:dyDescent="0.25">
      <c r="B95" s="42" t="s">
        <v>210</v>
      </c>
    </row>
    <row r="96" spans="2:2" ht="17" x14ac:dyDescent="0.25">
      <c r="B96" s="42" t="s">
        <v>11</v>
      </c>
    </row>
    <row r="97" spans="2:2" ht="17" x14ac:dyDescent="0.25">
      <c r="B97" s="42" t="s">
        <v>211</v>
      </c>
    </row>
    <row r="99" spans="2:2" ht="17" x14ac:dyDescent="0.25">
      <c r="B99" s="41" t="s">
        <v>12</v>
      </c>
    </row>
    <row r="100" spans="2:2" ht="17" x14ac:dyDescent="0.25">
      <c r="B100" s="42" t="s">
        <v>212</v>
      </c>
    </row>
    <row r="101" spans="2:2" ht="17" x14ac:dyDescent="0.25">
      <c r="B101" s="42" t="s">
        <v>213</v>
      </c>
    </row>
    <row r="102" spans="2:2" ht="17" x14ac:dyDescent="0.25">
      <c r="B102" s="42" t="s">
        <v>214</v>
      </c>
    </row>
    <row r="103" spans="2:2" ht="17" x14ac:dyDescent="0.25">
      <c r="B103" s="42" t="s">
        <v>13</v>
      </c>
    </row>
    <row r="104" spans="2:2" ht="17" x14ac:dyDescent="0.25">
      <c r="B104" s="42" t="s">
        <v>215</v>
      </c>
    </row>
    <row r="106" spans="2:2" ht="17" x14ac:dyDescent="0.25">
      <c r="B106" s="41" t="s">
        <v>14</v>
      </c>
    </row>
    <row r="107" spans="2:2" ht="17" x14ac:dyDescent="0.25">
      <c r="B107" s="42" t="s">
        <v>216</v>
      </c>
    </row>
    <row r="108" spans="2:2" ht="17" x14ac:dyDescent="0.25">
      <c r="B108" s="42" t="s">
        <v>217</v>
      </c>
    </row>
    <row r="109" spans="2:2" ht="17" x14ac:dyDescent="0.25">
      <c r="B109" s="42" t="s">
        <v>218</v>
      </c>
    </row>
    <row r="110" spans="2:2" ht="17" x14ac:dyDescent="0.25">
      <c r="B110" s="42" t="s">
        <v>219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A80C82-7618-1944-96EB-8995B02FFA49}">
  <dimension ref="B3:E124"/>
  <sheetViews>
    <sheetView topLeftCell="A15" workbookViewId="0">
      <selection activeCell="E14" sqref="E14"/>
    </sheetView>
  </sheetViews>
  <sheetFormatPr baseColWidth="10" defaultRowHeight="16" x14ac:dyDescent="0.2"/>
  <cols>
    <col min="2" max="2" width="41.83203125" style="43" customWidth="1"/>
    <col min="3" max="3" width="44.6640625" customWidth="1"/>
    <col min="4" max="4" width="42.1640625" customWidth="1"/>
    <col min="5" max="5" width="41.33203125" customWidth="1"/>
    <col min="6" max="7" width="40" customWidth="1"/>
    <col min="8" max="11" width="33.83203125" customWidth="1"/>
  </cols>
  <sheetData>
    <row r="3" spans="2:2" ht="32" x14ac:dyDescent="0.4">
      <c r="B3" s="36" t="s">
        <v>229</v>
      </c>
    </row>
    <row r="4" spans="2:2" ht="24" x14ac:dyDescent="0.3">
      <c r="B4" s="37" t="s">
        <v>17</v>
      </c>
    </row>
    <row r="5" spans="2:2" x14ac:dyDescent="0.2">
      <c r="B5" s="38" t="s">
        <v>18</v>
      </c>
    </row>
    <row r="7" spans="2:2" ht="24" x14ac:dyDescent="0.3">
      <c r="B7" s="39" t="s">
        <v>230</v>
      </c>
    </row>
    <row r="9" spans="2:2" ht="19" x14ac:dyDescent="0.25">
      <c r="B9" s="44" t="s">
        <v>19</v>
      </c>
    </row>
    <row r="11" spans="2:2" ht="17" x14ac:dyDescent="0.25">
      <c r="B11" s="42" t="s">
        <v>15</v>
      </c>
    </row>
    <row r="12" spans="2:2" ht="17" x14ac:dyDescent="0.25">
      <c r="B12" s="41" t="s">
        <v>20</v>
      </c>
    </row>
    <row r="13" spans="2:2" ht="17" x14ac:dyDescent="0.25">
      <c r="B13" s="42" t="s">
        <v>15</v>
      </c>
    </row>
    <row r="15" spans="2:2" ht="17" x14ac:dyDescent="0.25">
      <c r="B15" s="41" t="s">
        <v>21</v>
      </c>
    </row>
    <row r="16" spans="2:2" ht="17" x14ac:dyDescent="0.25">
      <c r="B16" s="41"/>
    </row>
    <row r="17" spans="2:5" ht="17" x14ac:dyDescent="0.25">
      <c r="B17" s="42" t="s">
        <v>22</v>
      </c>
    </row>
    <row r="18" spans="2:5" ht="17" x14ac:dyDescent="0.25">
      <c r="B18" s="42" t="s">
        <v>23</v>
      </c>
    </row>
    <row r="19" spans="2:5" ht="17" x14ac:dyDescent="0.25">
      <c r="B19" s="42" t="s">
        <v>24</v>
      </c>
    </row>
    <row r="20" spans="2:5" ht="17" x14ac:dyDescent="0.25">
      <c r="B20" s="42" t="s">
        <v>25</v>
      </c>
    </row>
    <row r="22" spans="2:5" ht="17" x14ac:dyDescent="0.25">
      <c r="B22" s="41" t="s">
        <v>3</v>
      </c>
    </row>
    <row r="24" spans="2:5" ht="17" x14ac:dyDescent="0.25">
      <c r="B24" s="41" t="s">
        <v>26</v>
      </c>
      <c r="C24" s="41" t="s">
        <v>32</v>
      </c>
      <c r="D24" s="41" t="s">
        <v>38</v>
      </c>
      <c r="E24" s="41" t="s">
        <v>375</v>
      </c>
    </row>
    <row r="25" spans="2:5" ht="17" x14ac:dyDescent="0.25">
      <c r="B25" s="42" t="s">
        <v>27</v>
      </c>
      <c r="C25" s="42" t="s">
        <v>33</v>
      </c>
      <c r="D25" s="42" t="s">
        <v>39</v>
      </c>
      <c r="E25" s="42" t="s">
        <v>46</v>
      </c>
    </row>
    <row r="26" spans="2:5" ht="17" x14ac:dyDescent="0.25">
      <c r="B26" s="42" t="s">
        <v>28</v>
      </c>
      <c r="C26" s="42" t="s">
        <v>34</v>
      </c>
      <c r="D26" s="42" t="s">
        <v>40</v>
      </c>
      <c r="E26" s="42" t="s">
        <v>47</v>
      </c>
    </row>
    <row r="27" spans="2:5" ht="17" x14ac:dyDescent="0.25">
      <c r="B27" s="42" t="s">
        <v>29</v>
      </c>
      <c r="C27" s="42" t="s">
        <v>35</v>
      </c>
      <c r="D27" s="42" t="s">
        <v>41</v>
      </c>
      <c r="E27" s="42" t="s">
        <v>45</v>
      </c>
    </row>
    <row r="28" spans="2:5" ht="17" x14ac:dyDescent="0.25">
      <c r="B28" s="42" t="s">
        <v>30</v>
      </c>
      <c r="C28" s="42" t="s">
        <v>36</v>
      </c>
      <c r="D28" s="42" t="s">
        <v>42</v>
      </c>
      <c r="E28" s="42" t="s">
        <v>48</v>
      </c>
    </row>
    <row r="29" spans="2:5" ht="17" x14ac:dyDescent="0.25">
      <c r="B29" s="42" t="s">
        <v>31</v>
      </c>
      <c r="C29" s="42" t="s">
        <v>37</v>
      </c>
      <c r="D29" s="42" t="s">
        <v>37</v>
      </c>
      <c r="E29" s="42" t="s">
        <v>37</v>
      </c>
    </row>
    <row r="32" spans="2:5" ht="17" x14ac:dyDescent="0.25">
      <c r="B32" s="41" t="s">
        <v>376</v>
      </c>
      <c r="C32" s="41" t="s">
        <v>49</v>
      </c>
      <c r="D32" s="41" t="s">
        <v>52</v>
      </c>
    </row>
    <row r="33" spans="2:4" ht="17" x14ac:dyDescent="0.25">
      <c r="B33" s="42" t="s">
        <v>43</v>
      </c>
      <c r="C33" s="42" t="s">
        <v>46</v>
      </c>
      <c r="D33" s="42" t="s">
        <v>53</v>
      </c>
    </row>
    <row r="34" spans="2:4" ht="17" x14ac:dyDescent="0.25">
      <c r="B34" s="42" t="s">
        <v>44</v>
      </c>
      <c r="C34" s="42" t="s">
        <v>47</v>
      </c>
      <c r="D34" s="42" t="s">
        <v>54</v>
      </c>
    </row>
    <row r="35" spans="2:4" ht="17" x14ac:dyDescent="0.25">
      <c r="B35" s="42" t="s">
        <v>45</v>
      </c>
      <c r="C35" s="42" t="s">
        <v>50</v>
      </c>
      <c r="D35" s="42" t="s">
        <v>55</v>
      </c>
    </row>
    <row r="36" spans="2:4" ht="17" x14ac:dyDescent="0.25">
      <c r="B36" s="42" t="s">
        <v>36</v>
      </c>
      <c r="C36" s="42" t="s">
        <v>51</v>
      </c>
      <c r="D36" s="42" t="s">
        <v>56</v>
      </c>
    </row>
    <row r="37" spans="2:4" ht="17" x14ac:dyDescent="0.25">
      <c r="B37" s="42" t="s">
        <v>37</v>
      </c>
    </row>
    <row r="39" spans="2:4" ht="17" x14ac:dyDescent="0.25">
      <c r="B39" s="42" t="s">
        <v>15</v>
      </c>
    </row>
    <row r="40" spans="2:4" ht="17" x14ac:dyDescent="0.25">
      <c r="B40" s="41" t="s">
        <v>57</v>
      </c>
    </row>
    <row r="41" spans="2:4" ht="17" x14ac:dyDescent="0.25">
      <c r="B41" s="41" t="s">
        <v>58</v>
      </c>
    </row>
    <row r="42" spans="2:4" ht="17" x14ac:dyDescent="0.25">
      <c r="B42" s="42" t="s">
        <v>15</v>
      </c>
    </row>
    <row r="43" spans="2:4" ht="19" x14ac:dyDescent="0.25">
      <c r="B43" s="44" t="s">
        <v>59</v>
      </c>
    </row>
    <row r="44" spans="2:4" ht="17" x14ac:dyDescent="0.25">
      <c r="B44" s="42" t="s">
        <v>15</v>
      </c>
    </row>
    <row r="45" spans="2:4" ht="17" x14ac:dyDescent="0.25">
      <c r="B45" s="41" t="s">
        <v>60</v>
      </c>
    </row>
    <row r="46" spans="2:4" ht="17" x14ac:dyDescent="0.25">
      <c r="B46" s="42" t="s">
        <v>15</v>
      </c>
    </row>
    <row r="48" spans="2:4" ht="17" x14ac:dyDescent="0.25">
      <c r="B48" s="41" t="s">
        <v>61</v>
      </c>
    </row>
    <row r="50" spans="2:4" ht="17" x14ac:dyDescent="0.25">
      <c r="B50" s="41" t="s">
        <v>62</v>
      </c>
      <c r="C50" s="41" t="s">
        <v>68</v>
      </c>
      <c r="D50" s="41" t="s">
        <v>74</v>
      </c>
    </row>
    <row r="51" spans="2:4" ht="17" x14ac:dyDescent="0.25">
      <c r="B51" s="42" t="s">
        <v>63</v>
      </c>
      <c r="C51" s="42" t="s">
        <v>69</v>
      </c>
      <c r="D51" s="42" t="s">
        <v>75</v>
      </c>
    </row>
    <row r="52" spans="2:4" ht="17" x14ac:dyDescent="0.25">
      <c r="B52" s="42" t="s">
        <v>64</v>
      </c>
      <c r="C52" s="42" t="s">
        <v>70</v>
      </c>
      <c r="D52" s="42" t="s">
        <v>76</v>
      </c>
    </row>
    <row r="53" spans="2:4" ht="17" x14ac:dyDescent="0.25">
      <c r="B53" s="42" t="s">
        <v>65</v>
      </c>
      <c r="C53" s="42" t="s">
        <v>71</v>
      </c>
      <c r="D53" s="42" t="s">
        <v>77</v>
      </c>
    </row>
    <row r="54" spans="2:4" ht="17" x14ac:dyDescent="0.25">
      <c r="B54" s="42" t="s">
        <v>66</v>
      </c>
      <c r="C54" s="42" t="s">
        <v>72</v>
      </c>
      <c r="D54" s="42" t="s">
        <v>78</v>
      </c>
    </row>
    <row r="55" spans="2:4" ht="17" x14ac:dyDescent="0.25">
      <c r="B55" s="42" t="s">
        <v>67</v>
      </c>
      <c r="C55" s="42" t="s">
        <v>73</v>
      </c>
      <c r="D55" s="42" t="s">
        <v>79</v>
      </c>
    </row>
    <row r="58" spans="2:4" ht="17" x14ac:dyDescent="0.25">
      <c r="B58" s="41" t="s">
        <v>80</v>
      </c>
      <c r="C58" s="41" t="s">
        <v>86</v>
      </c>
      <c r="D58" s="41" t="s">
        <v>91</v>
      </c>
    </row>
    <row r="59" spans="2:4" ht="17" x14ac:dyDescent="0.25">
      <c r="B59" s="42" t="s">
        <v>81</v>
      </c>
      <c r="C59" s="42" t="s">
        <v>87</v>
      </c>
      <c r="D59" s="42" t="s">
        <v>92</v>
      </c>
    </row>
    <row r="60" spans="2:4" ht="17" x14ac:dyDescent="0.25">
      <c r="B60" s="42" t="s">
        <v>82</v>
      </c>
      <c r="C60" s="42" t="s">
        <v>88</v>
      </c>
      <c r="D60" s="42" t="s">
        <v>93</v>
      </c>
    </row>
    <row r="61" spans="2:4" ht="17" x14ac:dyDescent="0.25">
      <c r="B61" s="42" t="s">
        <v>83</v>
      </c>
      <c r="C61" s="42" t="s">
        <v>82</v>
      </c>
      <c r="D61" s="42" t="s">
        <v>94</v>
      </c>
    </row>
    <row r="62" spans="2:4" ht="17" x14ac:dyDescent="0.25">
      <c r="B62" s="42" t="s">
        <v>84</v>
      </c>
      <c r="C62" s="42" t="s">
        <v>83</v>
      </c>
      <c r="D62" s="42" t="s">
        <v>95</v>
      </c>
    </row>
    <row r="63" spans="2:4" ht="17" x14ac:dyDescent="0.25">
      <c r="B63" s="42" t="s">
        <v>85</v>
      </c>
      <c r="C63" s="42" t="s">
        <v>89</v>
      </c>
      <c r="D63" s="42" t="s">
        <v>96</v>
      </c>
    </row>
    <row r="64" spans="2:4" ht="17" x14ac:dyDescent="0.25">
      <c r="C64" s="42" t="s">
        <v>90</v>
      </c>
      <c r="D64" s="42" t="s">
        <v>97</v>
      </c>
    </row>
    <row r="66" spans="2:2" ht="17" x14ac:dyDescent="0.25">
      <c r="B66" s="42" t="s">
        <v>15</v>
      </c>
    </row>
    <row r="67" spans="2:2" ht="17" x14ac:dyDescent="0.25">
      <c r="B67" s="41" t="s">
        <v>98</v>
      </c>
    </row>
    <row r="68" spans="2:2" ht="17" x14ac:dyDescent="0.25">
      <c r="B68" s="41" t="s">
        <v>99</v>
      </c>
    </row>
    <row r="69" spans="2:2" ht="17" x14ac:dyDescent="0.25">
      <c r="B69" s="42" t="s">
        <v>15</v>
      </c>
    </row>
    <row r="71" spans="2:2" ht="17" x14ac:dyDescent="0.25">
      <c r="B71" s="41" t="s">
        <v>100</v>
      </c>
    </row>
    <row r="72" spans="2:2" ht="17" x14ac:dyDescent="0.25">
      <c r="B72" s="42" t="s">
        <v>101</v>
      </c>
    </row>
    <row r="73" spans="2:2" ht="17" x14ac:dyDescent="0.25">
      <c r="B73" s="42" t="s">
        <v>102</v>
      </c>
    </row>
    <row r="74" spans="2:2" ht="17" x14ac:dyDescent="0.25">
      <c r="B74" s="42" t="s">
        <v>103</v>
      </c>
    </row>
    <row r="75" spans="2:2" ht="17" x14ac:dyDescent="0.25">
      <c r="B75" s="42" t="s">
        <v>104</v>
      </c>
    </row>
    <row r="76" spans="2:2" ht="17" x14ac:dyDescent="0.25">
      <c r="B76" s="42" t="s">
        <v>105</v>
      </c>
    </row>
    <row r="78" spans="2:2" ht="17" x14ac:dyDescent="0.25">
      <c r="B78" s="41" t="s">
        <v>106</v>
      </c>
    </row>
    <row r="79" spans="2:2" ht="17" x14ac:dyDescent="0.25">
      <c r="B79" s="42" t="s">
        <v>107</v>
      </c>
    </row>
    <row r="80" spans="2:2" ht="17" x14ac:dyDescent="0.25">
      <c r="B80" s="42" t="s">
        <v>108</v>
      </c>
    </row>
    <row r="81" spans="2:2" ht="17" x14ac:dyDescent="0.25">
      <c r="B81" s="42" t="s">
        <v>109</v>
      </c>
    </row>
    <row r="82" spans="2:2" ht="17" x14ac:dyDescent="0.25">
      <c r="B82" s="42" t="s">
        <v>110</v>
      </c>
    </row>
    <row r="83" spans="2:2" ht="17" x14ac:dyDescent="0.25">
      <c r="B83" s="42" t="s">
        <v>111</v>
      </c>
    </row>
    <row r="84" spans="2:2" ht="17" x14ac:dyDescent="0.25">
      <c r="B84" s="42" t="s">
        <v>112</v>
      </c>
    </row>
    <row r="85" spans="2:2" ht="17" x14ac:dyDescent="0.25">
      <c r="B85" s="42" t="s">
        <v>113</v>
      </c>
    </row>
    <row r="86" spans="2:2" ht="17" x14ac:dyDescent="0.25">
      <c r="B86" s="42" t="s">
        <v>114</v>
      </c>
    </row>
    <row r="87" spans="2:2" ht="17" x14ac:dyDescent="0.25">
      <c r="B87" s="42" t="s">
        <v>115</v>
      </c>
    </row>
    <row r="88" spans="2:2" ht="17" x14ac:dyDescent="0.25">
      <c r="B88" s="42" t="s">
        <v>116</v>
      </c>
    </row>
    <row r="90" spans="2:2" ht="19" x14ac:dyDescent="0.25">
      <c r="B90" s="40" t="s">
        <v>117</v>
      </c>
    </row>
    <row r="92" spans="2:2" ht="17" x14ac:dyDescent="0.25">
      <c r="B92" s="41" t="s">
        <v>118</v>
      </c>
    </row>
    <row r="94" spans="2:2" ht="17" x14ac:dyDescent="0.25">
      <c r="B94" s="41" t="s">
        <v>119</v>
      </c>
    </row>
    <row r="95" spans="2:2" ht="17" x14ac:dyDescent="0.25">
      <c r="B95" s="42" t="s">
        <v>120</v>
      </c>
    </row>
    <row r="96" spans="2:2" ht="17" x14ac:dyDescent="0.25">
      <c r="B96" s="42" t="s">
        <v>121</v>
      </c>
    </row>
    <row r="97" spans="2:2" ht="17" x14ac:dyDescent="0.25">
      <c r="B97" s="42" t="s">
        <v>122</v>
      </c>
    </row>
    <row r="98" spans="2:2" ht="17" x14ac:dyDescent="0.25">
      <c r="B98" s="42" t="s">
        <v>123</v>
      </c>
    </row>
    <row r="100" spans="2:2" ht="17" x14ac:dyDescent="0.25">
      <c r="B100" s="41" t="s">
        <v>124</v>
      </c>
    </row>
    <row r="101" spans="2:2" ht="17" x14ac:dyDescent="0.25">
      <c r="B101" s="42" t="s">
        <v>125</v>
      </c>
    </row>
    <row r="102" spans="2:2" ht="17" x14ac:dyDescent="0.25">
      <c r="B102" s="42" t="s">
        <v>126</v>
      </c>
    </row>
    <row r="103" spans="2:2" ht="17" x14ac:dyDescent="0.25">
      <c r="B103" s="42" t="s">
        <v>127</v>
      </c>
    </row>
    <row r="104" spans="2:2" ht="17" x14ac:dyDescent="0.25">
      <c r="B104" s="42" t="s">
        <v>128</v>
      </c>
    </row>
    <row r="105" spans="2:2" ht="17" x14ac:dyDescent="0.25">
      <c r="B105" s="42" t="s">
        <v>129</v>
      </c>
    </row>
    <row r="107" spans="2:2" ht="17" x14ac:dyDescent="0.25">
      <c r="B107" s="41" t="s">
        <v>130</v>
      </c>
    </row>
    <row r="108" spans="2:2" ht="17" x14ac:dyDescent="0.25">
      <c r="B108" s="42" t="s">
        <v>131</v>
      </c>
    </row>
    <row r="109" spans="2:2" ht="17" x14ac:dyDescent="0.25">
      <c r="B109" s="42" t="s">
        <v>132</v>
      </c>
    </row>
    <row r="110" spans="2:2" ht="17" x14ac:dyDescent="0.25">
      <c r="B110" s="42" t="s">
        <v>133</v>
      </c>
    </row>
    <row r="111" spans="2:2" ht="17" x14ac:dyDescent="0.25">
      <c r="B111" s="42" t="s">
        <v>134</v>
      </c>
    </row>
    <row r="113" spans="2:2" ht="17" x14ac:dyDescent="0.25">
      <c r="B113" s="41" t="s">
        <v>135</v>
      </c>
    </row>
    <row r="114" spans="2:2" ht="17" x14ac:dyDescent="0.25">
      <c r="B114" s="42" t="s">
        <v>136</v>
      </c>
    </row>
    <row r="115" spans="2:2" ht="17" x14ac:dyDescent="0.25">
      <c r="B115" s="42" t="s">
        <v>137</v>
      </c>
    </row>
    <row r="116" spans="2:2" ht="17" x14ac:dyDescent="0.25">
      <c r="B116" s="42" t="s">
        <v>138</v>
      </c>
    </row>
    <row r="117" spans="2:2" ht="17" x14ac:dyDescent="0.25">
      <c r="B117" s="42" t="s">
        <v>139</v>
      </c>
    </row>
    <row r="119" spans="2:2" ht="17" x14ac:dyDescent="0.25">
      <c r="B119" s="41" t="s">
        <v>140</v>
      </c>
    </row>
    <row r="120" spans="2:2" ht="17" x14ac:dyDescent="0.25">
      <c r="B120" s="42" t="s">
        <v>141</v>
      </c>
    </row>
    <row r="121" spans="2:2" ht="17" x14ac:dyDescent="0.25">
      <c r="B121" s="42" t="s">
        <v>142</v>
      </c>
    </row>
    <row r="122" spans="2:2" ht="17" x14ac:dyDescent="0.25">
      <c r="B122" s="42" t="s">
        <v>143</v>
      </c>
    </row>
    <row r="123" spans="2:2" ht="17" x14ac:dyDescent="0.25">
      <c r="B123" s="42" t="s">
        <v>144</v>
      </c>
    </row>
    <row r="124" spans="2:2" ht="17" x14ac:dyDescent="0.25">
      <c r="B124" s="42" t="s">
        <v>145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7400A5-1319-E24C-AA4B-CF7E51CAE4CC}">
  <dimension ref="B3:G18"/>
  <sheetViews>
    <sheetView workbookViewId="0">
      <selection activeCell="C18" sqref="C18"/>
    </sheetView>
  </sheetViews>
  <sheetFormatPr baseColWidth="10" defaultRowHeight="16" x14ac:dyDescent="0.2"/>
  <cols>
    <col min="1" max="1" width="10.83203125" style="114"/>
    <col min="2" max="2" width="10.83203125" style="164"/>
    <col min="3" max="3" width="34.5" style="114" customWidth="1"/>
    <col min="4" max="7" width="26.83203125" style="166" customWidth="1"/>
    <col min="8" max="16384" width="10.83203125" style="114"/>
  </cols>
  <sheetData>
    <row r="3" spans="2:7" ht="19" x14ac:dyDescent="0.2">
      <c r="C3" s="165" t="s">
        <v>380</v>
      </c>
    </row>
    <row r="5" spans="2:7" ht="34" customHeight="1" x14ac:dyDescent="0.2">
      <c r="C5" s="169" t="s">
        <v>381</v>
      </c>
      <c r="D5" s="170" t="s">
        <v>382</v>
      </c>
      <c r="E5" s="170" t="s">
        <v>383</v>
      </c>
      <c r="F5" s="170" t="s">
        <v>384</v>
      </c>
      <c r="G5" s="170" t="s">
        <v>385</v>
      </c>
    </row>
    <row r="6" spans="2:7" s="167" customFormat="1" ht="22" customHeight="1" x14ac:dyDescent="0.2">
      <c r="B6" s="150"/>
      <c r="C6" s="167" t="s">
        <v>402</v>
      </c>
      <c r="D6" s="168" t="s">
        <v>386</v>
      </c>
      <c r="E6" s="168" t="s">
        <v>387</v>
      </c>
      <c r="F6" s="168" t="s">
        <v>388</v>
      </c>
      <c r="G6" s="168" t="s">
        <v>406</v>
      </c>
    </row>
    <row r="7" spans="2:7" s="167" customFormat="1" ht="22" customHeight="1" x14ac:dyDescent="0.2">
      <c r="B7" s="150"/>
      <c r="C7" s="167" t="s">
        <v>403</v>
      </c>
      <c r="D7" s="168" t="s">
        <v>389</v>
      </c>
      <c r="E7" s="168" t="s">
        <v>390</v>
      </c>
      <c r="F7" s="168" t="s">
        <v>391</v>
      </c>
      <c r="G7" s="168" t="s">
        <v>392</v>
      </c>
    </row>
    <row r="8" spans="2:7" s="167" customFormat="1" ht="22" customHeight="1" x14ac:dyDescent="0.2">
      <c r="B8" s="150"/>
      <c r="C8" s="167" t="s">
        <v>404</v>
      </c>
      <c r="D8" s="168" t="s">
        <v>393</v>
      </c>
      <c r="E8" s="168" t="s">
        <v>394</v>
      </c>
      <c r="F8" s="168" t="s">
        <v>389</v>
      </c>
      <c r="G8" s="168" t="s">
        <v>389</v>
      </c>
    </row>
    <row r="9" spans="2:7" s="167" customFormat="1" ht="22" customHeight="1" x14ac:dyDescent="0.2">
      <c r="B9" s="150"/>
      <c r="C9" s="167" t="s">
        <v>395</v>
      </c>
      <c r="D9" s="168" t="s">
        <v>405</v>
      </c>
      <c r="E9" s="168" t="s">
        <v>407</v>
      </c>
      <c r="F9" s="168" t="s">
        <v>408</v>
      </c>
      <c r="G9" s="168" t="s">
        <v>409</v>
      </c>
    </row>
    <row r="10" spans="2:7" s="167" customFormat="1" ht="22" customHeight="1" x14ac:dyDescent="0.2">
      <c r="B10" s="150"/>
      <c r="C10" s="167" t="s">
        <v>396</v>
      </c>
      <c r="D10" s="168" t="s">
        <v>388</v>
      </c>
      <c r="E10" s="168" t="s">
        <v>397</v>
      </c>
      <c r="F10" s="168" t="s">
        <v>398</v>
      </c>
      <c r="G10" s="168" t="s">
        <v>399</v>
      </c>
    </row>
    <row r="11" spans="2:7" s="167" customFormat="1" ht="22" customHeight="1" x14ac:dyDescent="0.2">
      <c r="B11" s="150"/>
      <c r="C11" s="167" t="s">
        <v>400</v>
      </c>
      <c r="D11" s="168" t="s">
        <v>401</v>
      </c>
      <c r="E11" s="168" t="s">
        <v>401</v>
      </c>
      <c r="F11" s="168" t="s">
        <v>401</v>
      </c>
      <c r="G11" s="168" t="s">
        <v>401</v>
      </c>
    </row>
    <row r="13" spans="2:7" x14ac:dyDescent="0.2">
      <c r="C13" s="114" t="s">
        <v>410</v>
      </c>
    </row>
    <row r="18" spans="3:3" x14ac:dyDescent="0.2">
      <c r="C18" s="114" t="s">
        <v>411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A7EB4F-3B4B-8C41-A830-27E4DF996BAD}">
  <dimension ref="B4:D56"/>
  <sheetViews>
    <sheetView workbookViewId="0">
      <selection activeCell="F62" sqref="F62"/>
    </sheetView>
  </sheetViews>
  <sheetFormatPr baseColWidth="10" defaultRowHeight="16" x14ac:dyDescent="0.2"/>
  <cols>
    <col min="2" max="2" width="10.83203125" style="2"/>
    <col min="3" max="3" width="46.1640625" customWidth="1"/>
    <col min="4" max="4" width="25.1640625" customWidth="1"/>
  </cols>
  <sheetData>
    <row r="4" spans="2:4" x14ac:dyDescent="0.2">
      <c r="B4" s="3" t="s">
        <v>235</v>
      </c>
      <c r="C4" s="1" t="s">
        <v>236</v>
      </c>
      <c r="D4" s="1" t="s">
        <v>237</v>
      </c>
    </row>
    <row r="5" spans="2:4" x14ac:dyDescent="0.2">
      <c r="B5" s="2" t="s">
        <v>238</v>
      </c>
      <c r="C5" t="s">
        <v>239</v>
      </c>
      <c r="D5" t="s">
        <v>240</v>
      </c>
    </row>
    <row r="6" spans="2:4" x14ac:dyDescent="0.2">
      <c r="B6" s="2" t="s">
        <v>241</v>
      </c>
      <c r="C6" t="s">
        <v>239</v>
      </c>
      <c r="D6" t="s">
        <v>240</v>
      </c>
    </row>
    <row r="7" spans="2:4" x14ac:dyDescent="0.2">
      <c r="B7" s="2" t="s">
        <v>242</v>
      </c>
      <c r="C7" t="s">
        <v>239</v>
      </c>
      <c r="D7" t="s">
        <v>240</v>
      </c>
    </row>
    <row r="8" spans="2:4" x14ac:dyDescent="0.2">
      <c r="B8" s="2" t="s">
        <v>243</v>
      </c>
      <c r="C8" t="s">
        <v>244</v>
      </c>
      <c r="D8" t="s">
        <v>245</v>
      </c>
    </row>
    <row r="9" spans="2:4" x14ac:dyDescent="0.2">
      <c r="B9" s="3" t="s">
        <v>246</v>
      </c>
      <c r="C9" t="s">
        <v>247</v>
      </c>
      <c r="D9" t="s">
        <v>245</v>
      </c>
    </row>
    <row r="10" spans="2:4" x14ac:dyDescent="0.2">
      <c r="B10" s="3" t="s">
        <v>248</v>
      </c>
      <c r="C10" t="s">
        <v>249</v>
      </c>
      <c r="D10" t="s">
        <v>245</v>
      </c>
    </row>
    <row r="11" spans="2:4" x14ac:dyDescent="0.2">
      <c r="B11" s="3" t="s">
        <v>250</v>
      </c>
      <c r="C11" t="s">
        <v>251</v>
      </c>
      <c r="D11" t="s">
        <v>245</v>
      </c>
    </row>
    <row r="12" spans="2:4" x14ac:dyDescent="0.2">
      <c r="B12" s="3" t="s">
        <v>252</v>
      </c>
      <c r="C12" t="s">
        <v>253</v>
      </c>
      <c r="D12" t="s">
        <v>254</v>
      </c>
    </row>
    <row r="13" spans="2:4" x14ac:dyDescent="0.2">
      <c r="B13" s="3" t="s">
        <v>255</v>
      </c>
      <c r="C13" t="s">
        <v>256</v>
      </c>
      <c r="D13" t="s">
        <v>257</v>
      </c>
    </row>
    <row r="16" spans="2:4" ht="24" x14ac:dyDescent="0.3">
      <c r="C16" s="171" t="s">
        <v>445</v>
      </c>
    </row>
    <row r="18" spans="3:3" ht="19" x14ac:dyDescent="0.25">
      <c r="C18" s="163" t="s">
        <v>446</v>
      </c>
    </row>
    <row r="20" spans="3:3" x14ac:dyDescent="0.2">
      <c r="C20" t="s">
        <v>447</v>
      </c>
    </row>
    <row r="22" spans="3:3" x14ac:dyDescent="0.2">
      <c r="C22" t="s">
        <v>448</v>
      </c>
    </row>
    <row r="24" spans="3:3" x14ac:dyDescent="0.2">
      <c r="C24" t="s">
        <v>449</v>
      </c>
    </row>
    <row r="26" spans="3:3" x14ac:dyDescent="0.2">
      <c r="C26" t="s">
        <v>450</v>
      </c>
    </row>
    <row r="28" spans="3:3" x14ac:dyDescent="0.2">
      <c r="C28" t="s">
        <v>451</v>
      </c>
    </row>
    <row r="30" spans="3:3" x14ac:dyDescent="0.2">
      <c r="C30" t="s">
        <v>452</v>
      </c>
    </row>
    <row r="32" spans="3:3" x14ac:dyDescent="0.2">
      <c r="C32" t="s">
        <v>453</v>
      </c>
    </row>
    <row r="33" spans="3:3" x14ac:dyDescent="0.2">
      <c r="C33" t="s">
        <v>454</v>
      </c>
    </row>
    <row r="34" spans="3:3" x14ac:dyDescent="0.2">
      <c r="C34" t="s">
        <v>455</v>
      </c>
    </row>
    <row r="35" spans="3:3" x14ac:dyDescent="0.2">
      <c r="C35" t="s">
        <v>456</v>
      </c>
    </row>
    <row r="36" spans="3:3" x14ac:dyDescent="0.2">
      <c r="C36" t="s">
        <v>457</v>
      </c>
    </row>
    <row r="37" spans="3:3" x14ac:dyDescent="0.2">
      <c r="C37" t="s">
        <v>458</v>
      </c>
    </row>
    <row r="38" spans="3:3" x14ac:dyDescent="0.2">
      <c r="C38" t="s">
        <v>459</v>
      </c>
    </row>
    <row r="40" spans="3:3" x14ac:dyDescent="0.2">
      <c r="C40" t="s">
        <v>460</v>
      </c>
    </row>
    <row r="42" spans="3:3" x14ac:dyDescent="0.2">
      <c r="C42" t="s">
        <v>461</v>
      </c>
    </row>
    <row r="44" spans="3:3" x14ac:dyDescent="0.2">
      <c r="C44" s="1" t="s">
        <v>462</v>
      </c>
    </row>
    <row r="46" spans="3:3" x14ac:dyDescent="0.2">
      <c r="C46" s="1" t="s">
        <v>463</v>
      </c>
    </row>
    <row r="48" spans="3:3" x14ac:dyDescent="0.2">
      <c r="C48" s="192" t="s">
        <v>464</v>
      </c>
    </row>
    <row r="50" spans="3:3" ht="19" x14ac:dyDescent="0.25">
      <c r="C50" s="163" t="s">
        <v>465</v>
      </c>
    </row>
    <row r="52" spans="3:3" x14ac:dyDescent="0.2">
      <c r="C52" t="s">
        <v>466</v>
      </c>
    </row>
    <row r="54" spans="3:3" x14ac:dyDescent="0.2">
      <c r="C54" t="s">
        <v>467</v>
      </c>
    </row>
    <row r="56" spans="3:3" x14ac:dyDescent="0.2">
      <c r="C56" s="192" t="s">
        <v>468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TOKENOMICS (Cũ)</vt:lpstr>
      <vt:lpstr>TOKENOMICS (Mới)</vt:lpstr>
      <vt:lpstr>SEED</vt:lpstr>
      <vt:lpstr>PUBLIC-SALE</vt:lpstr>
      <vt:lpstr>STADIUM</vt:lpstr>
      <vt:lpstr>MYSTERY</vt:lpstr>
      <vt:lpstr>PLAYER</vt:lpstr>
      <vt:lpstr>REVENUE@WC26DIST</vt:lpstr>
      <vt:lpstr>LIQUIDITY</vt:lpstr>
      <vt:lpstr>Strategic</vt:lpstr>
      <vt:lpstr>Govern_Eligibility</vt:lpstr>
      <vt:lpstr>LIST-DOCS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DANG QUOC TUAN</dc:creator>
  <cp:lastModifiedBy>DANG QUOC TUAN</cp:lastModifiedBy>
  <dcterms:created xsi:type="dcterms:W3CDTF">2026-02-10T09:49:04Z</dcterms:created>
  <dcterms:modified xsi:type="dcterms:W3CDTF">2026-03-02T07:39:57Z</dcterms:modified>
</cp:coreProperties>
</file>